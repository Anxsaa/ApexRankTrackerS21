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202300"/>
  <mc:AlternateContent xmlns:mc="http://schemas.openxmlformats.org/markup-compatibility/2006">
    <mc:Choice Requires="x15">
      <x15ac:absPath xmlns:x15ac="http://schemas.microsoft.com/office/spreadsheetml/2010/11/ac" url="C:\Users\Alice\Documents\"/>
    </mc:Choice>
  </mc:AlternateContent>
  <xr:revisionPtr revIDLastSave="0" documentId="13_ncr:1_{522A40B0-A354-4360-A85D-0681D032B50B}" xr6:coauthVersionLast="47" xr6:coauthVersionMax="47" xr10:uidLastSave="{00000000-0000-0000-0000-000000000000}"/>
  <bookViews>
    <workbookView xWindow="-120" yWindow="-120" windowWidth="38640" windowHeight="21120" activeTab="1" xr2:uid="{00000000-000D-0000-FFFF-FFFF00000000}"/>
  </bookViews>
  <sheets>
    <sheet name="How to use" sheetId="5" r:id="rId1"/>
    <sheet name="Overview" sheetId="1" r:id="rId2"/>
    <sheet name="Match data" sheetId="2" r:id="rId3"/>
    <sheet name="Table Data" sheetId="3" r:id="rId4"/>
    <sheet name="Rank Data"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1" l="1"/>
  <c r="B28" i="4"/>
  <c r="A28" i="4"/>
  <c r="D7" i="3"/>
  <c r="B7" i="3"/>
  <c r="C7" i="3" s="1"/>
  <c r="D2" i="3"/>
  <c r="B2" i="3"/>
  <c r="E5" i="2"/>
  <c r="E6" i="2" s="1"/>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E57" i="2" s="1"/>
  <c r="E58" i="2" s="1"/>
  <c r="E59" i="2" s="1"/>
  <c r="E60" i="2" s="1"/>
  <c r="E61" i="2" s="1"/>
  <c r="E62" i="2" s="1"/>
  <c r="E63" i="2" s="1"/>
  <c r="E64" i="2" s="1"/>
  <c r="E65" i="2" s="1"/>
  <c r="E66" i="2" s="1"/>
  <c r="E67" i="2" s="1"/>
  <c r="E68" i="2" s="1"/>
  <c r="E69" i="2" s="1"/>
  <c r="E70" i="2" s="1"/>
  <c r="E71" i="2" s="1"/>
  <c r="E72" i="2" s="1"/>
  <c r="E73" i="2" s="1"/>
  <c r="E74" i="2" s="1"/>
  <c r="E75" i="2" s="1"/>
  <c r="E76" i="2" s="1"/>
  <c r="E77" i="2" s="1"/>
  <c r="E78" i="2" s="1"/>
  <c r="E79" i="2" s="1"/>
  <c r="E80" i="2" s="1"/>
  <c r="E81" i="2" s="1"/>
  <c r="E82" i="2" s="1"/>
  <c r="E83" i="2" s="1"/>
  <c r="E84" i="2" s="1"/>
  <c r="E85" i="2" s="1"/>
  <c r="E86" i="2" s="1"/>
  <c r="E87" i="2" s="1"/>
  <c r="E88" i="2" s="1"/>
  <c r="E89" i="2" s="1"/>
  <c r="E90" i="2" s="1"/>
  <c r="E91" i="2" s="1"/>
  <c r="E92" i="2" s="1"/>
  <c r="E93" i="2" s="1"/>
  <c r="E94" i="2" s="1"/>
  <c r="E95" i="2" s="1"/>
  <c r="E96" i="2" s="1"/>
  <c r="E97" i="2" s="1"/>
  <c r="E98" i="2" s="1"/>
  <c r="E99" i="2" s="1"/>
  <c r="E100" i="2" s="1"/>
  <c r="E101" i="2" s="1"/>
  <c r="E102" i="2" s="1"/>
  <c r="E103" i="2" s="1"/>
  <c r="E104" i="2" s="1"/>
  <c r="E105" i="2" s="1"/>
  <c r="E106" i="2" s="1"/>
  <c r="E107" i="2" s="1"/>
  <c r="E108" i="2" s="1"/>
  <c r="E109" i="2" s="1"/>
  <c r="E110" i="2" s="1"/>
  <c r="E111" i="2" s="1"/>
  <c r="E112" i="2" s="1"/>
  <c r="E113" i="2" s="1"/>
  <c r="E114" i="2" s="1"/>
  <c r="E115" i="2" s="1"/>
  <c r="E116" i="2" s="1"/>
  <c r="E117" i="2" s="1"/>
  <c r="E118" i="2" s="1"/>
  <c r="E119" i="2" s="1"/>
  <c r="E120" i="2" s="1"/>
  <c r="E121" i="2" s="1"/>
  <c r="E122" i="2" s="1"/>
  <c r="E123" i="2" s="1"/>
  <c r="E124" i="2" s="1"/>
  <c r="E125" i="2" s="1"/>
  <c r="E126" i="2" s="1"/>
  <c r="E127" i="2" s="1"/>
  <c r="E128" i="2" s="1"/>
  <c r="E129" i="2" s="1"/>
  <c r="E130" i="2" s="1"/>
  <c r="E131" i="2" s="1"/>
  <c r="E132" i="2" s="1"/>
  <c r="E133" i="2" s="1"/>
  <c r="E134" i="2" s="1"/>
  <c r="E135" i="2" s="1"/>
  <c r="E136" i="2" s="1"/>
  <c r="E137" i="2" s="1"/>
  <c r="E138" i="2" s="1"/>
  <c r="E139" i="2" s="1"/>
  <c r="E140" i="2" s="1"/>
  <c r="E141" i="2" s="1"/>
  <c r="E142" i="2" s="1"/>
  <c r="E143" i="2" s="1"/>
  <c r="E144" i="2" s="1"/>
  <c r="E145" i="2" s="1"/>
  <c r="E146" i="2" s="1"/>
  <c r="E147" i="2" s="1"/>
  <c r="E148" i="2" s="1"/>
  <c r="E149" i="2" s="1"/>
  <c r="E150" i="2" s="1"/>
  <c r="E151" i="2" s="1"/>
  <c r="E152" i="2" s="1"/>
  <c r="E153" i="2" s="1"/>
  <c r="E154" i="2" s="1"/>
  <c r="E155" i="2" s="1"/>
  <c r="E156" i="2" s="1"/>
  <c r="E157" i="2" s="1"/>
  <c r="E158" i="2" s="1"/>
  <c r="E159" i="2" s="1"/>
  <c r="E160" i="2" s="1"/>
  <c r="E161" i="2" s="1"/>
  <c r="E162" i="2" s="1"/>
  <c r="E163" i="2" s="1"/>
  <c r="E164" i="2" s="1"/>
  <c r="E165" i="2" s="1"/>
  <c r="E166" i="2" s="1"/>
  <c r="E167" i="2" s="1"/>
  <c r="E168" i="2" s="1"/>
  <c r="E169" i="2" s="1"/>
  <c r="E170" i="2" s="1"/>
  <c r="E171" i="2" s="1"/>
  <c r="E172" i="2" s="1"/>
  <c r="E173" i="2" s="1"/>
  <c r="E174" i="2" s="1"/>
  <c r="E175" i="2" s="1"/>
  <c r="E176" i="2" s="1"/>
  <c r="E177" i="2" s="1"/>
  <c r="E178" i="2" s="1"/>
  <c r="E179" i="2" s="1"/>
  <c r="E180" i="2" s="1"/>
  <c r="E181" i="2" s="1"/>
  <c r="E182" i="2" s="1"/>
  <c r="E183" i="2" s="1"/>
  <c r="E184" i="2" s="1"/>
  <c r="E185" i="2" s="1"/>
  <c r="E186" i="2" s="1"/>
  <c r="E187" i="2" s="1"/>
  <c r="E188" i="2" s="1"/>
  <c r="E189" i="2" s="1"/>
  <c r="E190" i="2" s="1"/>
  <c r="E191" i="2" s="1"/>
  <c r="E192" i="2" s="1"/>
  <c r="E193" i="2" s="1"/>
  <c r="E194" i="2" s="1"/>
  <c r="E195" i="2" s="1"/>
  <c r="E196" i="2" s="1"/>
  <c r="E197" i="2" s="1"/>
  <c r="E198" i="2" s="1"/>
  <c r="E199" i="2" s="1"/>
  <c r="E200" i="2" s="1"/>
  <c r="E201" i="2" s="1"/>
  <c r="E4" i="2"/>
  <c r="E3" i="2"/>
  <c r="F3" i="2"/>
  <c r="F2" i="2"/>
  <c r="B8" i="1"/>
  <c r="C8" i="1"/>
  <c r="D8" i="1"/>
  <c r="F26" i="3"/>
  <c r="D26" i="3"/>
  <c r="B26" i="3"/>
  <c r="C26" i="3" s="1"/>
  <c r="F25" i="3"/>
  <c r="D25" i="3"/>
  <c r="B25" i="3"/>
  <c r="C25" i="3" s="1"/>
  <c r="F24" i="3"/>
  <c r="D24" i="3"/>
  <c r="B24" i="3"/>
  <c r="C24" i="3" s="1"/>
  <c r="F23" i="3"/>
  <c r="D23" i="3"/>
  <c r="B23" i="3"/>
  <c r="C23" i="3" s="1"/>
  <c r="F22" i="3"/>
  <c r="D22" i="3"/>
  <c r="B22" i="3"/>
  <c r="C22" i="3" s="1"/>
  <c r="F21" i="3"/>
  <c r="D21" i="3"/>
  <c r="B21" i="3"/>
  <c r="C21" i="3" s="1"/>
  <c r="F20" i="3"/>
  <c r="D20" i="3"/>
  <c r="B20" i="3"/>
  <c r="C20" i="3" s="1"/>
  <c r="F18" i="3"/>
  <c r="D18" i="3"/>
  <c r="B18" i="3"/>
  <c r="C18" i="3" s="1"/>
  <c r="F17" i="3"/>
  <c r="D17" i="3"/>
  <c r="B17" i="3"/>
  <c r="C17" i="3" s="1"/>
  <c r="F16" i="3"/>
  <c r="D16" i="3"/>
  <c r="B16" i="3"/>
  <c r="C16" i="3" s="1"/>
  <c r="F15" i="3"/>
  <c r="D15" i="3"/>
  <c r="B15" i="3"/>
  <c r="C15" i="3" s="1"/>
  <c r="F14" i="3"/>
  <c r="D14" i="3"/>
  <c r="B14" i="3"/>
  <c r="C14" i="3" s="1"/>
  <c r="F13" i="3"/>
  <c r="D13" i="3"/>
  <c r="B13" i="3"/>
  <c r="C13" i="3" s="1"/>
  <c r="F12" i="3"/>
  <c r="D12" i="3"/>
  <c r="B12" i="3"/>
  <c r="C12" i="3" s="1"/>
  <c r="F11" i="3"/>
  <c r="D11" i="3"/>
  <c r="B11" i="3"/>
  <c r="C11" i="3" s="1"/>
  <c r="F10" i="3"/>
  <c r="D10" i="3"/>
  <c r="B10" i="3"/>
  <c r="C10" i="3" s="1"/>
  <c r="F9" i="3"/>
  <c r="D9" i="3"/>
  <c r="B9" i="3"/>
  <c r="C9" i="3" s="1"/>
  <c r="F8" i="3"/>
  <c r="D8" i="3"/>
  <c r="B8" i="3"/>
  <c r="C8" i="3" s="1"/>
  <c r="F7" i="3"/>
  <c r="F6" i="3"/>
  <c r="D6" i="3"/>
  <c r="B6" i="3"/>
  <c r="C6" i="3" s="1"/>
  <c r="F5" i="3"/>
  <c r="D5" i="3"/>
  <c r="B5" i="3"/>
  <c r="F4" i="3"/>
  <c r="D4" i="3"/>
  <c r="B4" i="3"/>
  <c r="B19" i="3"/>
  <c r="C19" i="3" s="1"/>
  <c r="D19" i="3"/>
  <c r="F19" i="3"/>
  <c r="F3" i="3"/>
  <c r="F2" i="3"/>
  <c r="D3" i="3"/>
  <c r="B3" i="3"/>
  <c r="L2" i="3"/>
  <c r="D17" i="1" l="1"/>
  <c r="B17" i="1"/>
  <c r="C17" i="1"/>
  <c r="C4" i="3"/>
  <c r="C5" i="3"/>
  <c r="D11" i="1"/>
  <c r="B11" i="1"/>
  <c r="C11" i="1"/>
  <c r="C3" i="3"/>
  <c r="E19" i="3"/>
  <c r="E26" i="3"/>
  <c r="E25" i="3"/>
  <c r="E24" i="3"/>
  <c r="E22" i="3"/>
  <c r="E21" i="3"/>
  <c r="E20" i="3"/>
  <c r="E18" i="3"/>
  <c r="E17" i="3"/>
  <c r="E16" i="3"/>
  <c r="E15" i="3"/>
  <c r="E14" i="3"/>
  <c r="E13" i="3"/>
  <c r="E12" i="3"/>
  <c r="E10" i="3"/>
  <c r="E9" i="3"/>
  <c r="E8" i="3"/>
  <c r="E6" i="3"/>
  <c r="E5" i="3"/>
  <c r="E4" i="3"/>
  <c r="E11" i="3"/>
  <c r="E7" i="3"/>
  <c r="E23" i="3"/>
  <c r="E3" i="3"/>
  <c r="E2" i="3"/>
  <c r="C2" i="3"/>
  <c r="D14" i="1" l="1"/>
  <c r="C14" i="1"/>
  <c r="B14" i="1"/>
  <c r="F4" i="2"/>
  <c r="F5" i="2" l="1"/>
  <c r="F6" i="2" l="1"/>
  <c r="F7" i="2" l="1"/>
  <c r="F8" i="2" l="1"/>
  <c r="F9" i="2" l="1"/>
  <c r="F10" i="2" l="1"/>
  <c r="F11" i="2" l="1"/>
  <c r="F12" i="2" l="1"/>
  <c r="F13" i="2" l="1"/>
  <c r="F14" i="2" l="1"/>
  <c r="F15" i="2" l="1"/>
  <c r="F16" i="2" l="1"/>
  <c r="F17" i="2" l="1"/>
  <c r="F18" i="2" l="1"/>
  <c r="F19" i="2" l="1"/>
  <c r="F20" i="2" l="1"/>
  <c r="F21" i="2" l="1"/>
  <c r="F22" i="2" l="1"/>
  <c r="F23" i="2" l="1"/>
  <c r="F24" i="2" l="1"/>
  <c r="F25" i="2" l="1"/>
  <c r="F26" i="2" l="1"/>
  <c r="F27" i="2" l="1"/>
  <c r="F28" i="2" l="1"/>
  <c r="F29" i="2" l="1"/>
  <c r="F30" i="2" l="1"/>
  <c r="F31" i="2" l="1"/>
  <c r="F32" i="2" l="1"/>
  <c r="F33" i="2" l="1"/>
  <c r="F34" i="2" l="1"/>
  <c r="F35" i="2" l="1"/>
  <c r="F36" i="2" l="1"/>
  <c r="F37" i="2" l="1"/>
  <c r="F38" i="2" l="1"/>
  <c r="F39" i="2" l="1"/>
  <c r="F40" i="2" l="1"/>
  <c r="F41" i="2" l="1"/>
  <c r="F42" i="2" l="1"/>
  <c r="F43" i="2" l="1"/>
  <c r="F44" i="2" l="1"/>
  <c r="F45" i="2" l="1"/>
  <c r="F46" i="2" l="1"/>
  <c r="F47" i="2" l="1"/>
  <c r="F48" i="2" l="1"/>
  <c r="F49" i="2" l="1"/>
  <c r="F50" i="2" l="1"/>
  <c r="F51" i="2" l="1"/>
  <c r="F52" i="2" l="1"/>
  <c r="F53" i="2" l="1"/>
  <c r="F54" i="2" l="1"/>
  <c r="F55" i="2" l="1"/>
  <c r="F56" i="2" l="1"/>
  <c r="F57" i="2" l="1"/>
  <c r="F58" i="2" l="1"/>
  <c r="F59" i="2" l="1"/>
  <c r="F60" i="2" l="1"/>
  <c r="F61" i="2" l="1"/>
  <c r="F62" i="2" l="1"/>
  <c r="F63" i="2" l="1"/>
  <c r="F64" i="2" l="1"/>
  <c r="F65" i="2" l="1"/>
  <c r="F66" i="2" l="1"/>
  <c r="F67" i="2" l="1"/>
  <c r="F68" i="2" l="1"/>
  <c r="F69" i="2" l="1"/>
  <c r="F70" i="2" l="1"/>
  <c r="F71" i="2" l="1"/>
  <c r="F72" i="2" l="1"/>
  <c r="F73" i="2" l="1"/>
  <c r="F74" i="2" l="1"/>
  <c r="F75" i="2" l="1"/>
  <c r="F76" i="2" l="1"/>
  <c r="F77" i="2" l="1"/>
  <c r="F78" i="2" l="1"/>
  <c r="F79" i="2" l="1"/>
  <c r="F80" i="2" l="1"/>
  <c r="F81" i="2" l="1"/>
  <c r="F82" i="2" l="1"/>
  <c r="F83" i="2" l="1"/>
  <c r="F84" i="2" l="1"/>
  <c r="F85" i="2" l="1"/>
  <c r="F86" i="2" l="1"/>
  <c r="F87" i="2" l="1"/>
  <c r="F88" i="2" l="1"/>
  <c r="F89" i="2" l="1"/>
  <c r="F90" i="2" l="1"/>
  <c r="F91" i="2" l="1"/>
  <c r="F92" i="2" l="1"/>
  <c r="F93" i="2" l="1"/>
  <c r="F94" i="2" l="1"/>
  <c r="F95" i="2" l="1"/>
  <c r="F96" i="2" l="1"/>
  <c r="F97" i="2" l="1"/>
  <c r="F98" i="2" l="1"/>
  <c r="F99" i="2" l="1"/>
  <c r="F100" i="2" l="1"/>
  <c r="F101" i="2" l="1"/>
  <c r="F102" i="2" l="1"/>
  <c r="F103" i="2" l="1"/>
  <c r="F104" i="2" l="1"/>
  <c r="F105" i="2" l="1"/>
  <c r="F106" i="2" l="1"/>
  <c r="F107" i="2" l="1"/>
  <c r="F108" i="2" l="1"/>
  <c r="F109" i="2" l="1"/>
  <c r="F110" i="2" l="1"/>
  <c r="F111" i="2" l="1"/>
  <c r="F112" i="2" l="1"/>
  <c r="F113" i="2" l="1"/>
  <c r="F114" i="2" l="1"/>
  <c r="F115" i="2" l="1"/>
  <c r="F116" i="2" l="1"/>
  <c r="F117" i="2" l="1"/>
  <c r="F118" i="2" l="1"/>
  <c r="F119" i="2" l="1"/>
  <c r="F120" i="2" l="1"/>
  <c r="F121" i="2" l="1"/>
  <c r="F122" i="2" l="1"/>
  <c r="F123" i="2" l="1"/>
  <c r="F124" i="2" l="1"/>
  <c r="F125" i="2" l="1"/>
  <c r="F126" i="2" l="1"/>
  <c r="F127" i="2" l="1"/>
  <c r="F128" i="2" l="1"/>
  <c r="F129" i="2" l="1"/>
  <c r="F130" i="2" l="1"/>
  <c r="F131" i="2" l="1"/>
  <c r="F132" i="2" l="1"/>
  <c r="F133" i="2" l="1"/>
  <c r="F134" i="2" l="1"/>
  <c r="F135" i="2" l="1"/>
  <c r="F136" i="2" l="1"/>
  <c r="F137" i="2" l="1"/>
  <c r="F138" i="2" l="1"/>
  <c r="F139" i="2" l="1"/>
  <c r="F140" i="2" l="1"/>
  <c r="F141" i="2" l="1"/>
  <c r="F142" i="2" l="1"/>
  <c r="F143" i="2" l="1"/>
  <c r="F144" i="2" l="1"/>
  <c r="F145" i="2" l="1"/>
  <c r="F146" i="2" l="1"/>
  <c r="F147" i="2" l="1"/>
  <c r="F148" i="2" l="1"/>
  <c r="F149" i="2" l="1"/>
  <c r="F150" i="2" l="1"/>
  <c r="F151" i="2" l="1"/>
  <c r="F152" i="2" l="1"/>
  <c r="F153" i="2" l="1"/>
  <c r="F154" i="2" l="1"/>
  <c r="F155" i="2" l="1"/>
  <c r="F156" i="2" l="1"/>
  <c r="F157" i="2" l="1"/>
  <c r="F158" i="2" l="1"/>
  <c r="F159" i="2" l="1"/>
  <c r="F160" i="2" l="1"/>
  <c r="F161" i="2" l="1"/>
  <c r="F162" i="2" l="1"/>
  <c r="F163" i="2" l="1"/>
  <c r="F164" i="2" l="1"/>
  <c r="F165" i="2" l="1"/>
  <c r="F166" i="2" l="1"/>
  <c r="F167" i="2" l="1"/>
  <c r="F168" i="2" l="1"/>
  <c r="F169" i="2" l="1"/>
  <c r="F170" i="2" l="1"/>
  <c r="F171" i="2" l="1"/>
  <c r="F172" i="2" l="1"/>
  <c r="F173" i="2" l="1"/>
  <c r="F174" i="2" l="1"/>
  <c r="F175" i="2" l="1"/>
  <c r="F176" i="2" l="1"/>
  <c r="F177" i="2" l="1"/>
  <c r="F178" i="2" l="1"/>
  <c r="F179" i="2" l="1"/>
  <c r="F180" i="2" l="1"/>
  <c r="F181" i="2" l="1"/>
  <c r="F182" i="2" l="1"/>
  <c r="F183" i="2" l="1"/>
  <c r="F184" i="2" l="1"/>
  <c r="F185" i="2" l="1"/>
  <c r="F186" i="2" l="1"/>
  <c r="F187" i="2" l="1"/>
  <c r="F188" i="2" l="1"/>
  <c r="F189" i="2" l="1"/>
  <c r="F190" i="2" l="1"/>
  <c r="F191" i="2" l="1"/>
  <c r="F192" i="2" l="1"/>
  <c r="F193" i="2" l="1"/>
  <c r="F194" i="2" l="1"/>
  <c r="F195" i="2" l="1"/>
  <c r="F196" i="2" l="1"/>
  <c r="F197" i="2" l="1"/>
  <c r="F198" i="2" l="1"/>
  <c r="F199" i="2" l="1"/>
  <c r="F201" i="2" l="1"/>
  <c r="F200" i="2"/>
</calcChain>
</file>

<file path=xl/sharedStrings.xml><?xml version="1.0" encoding="utf-8"?>
<sst xmlns="http://schemas.openxmlformats.org/spreadsheetml/2006/main" count="78" uniqueCount="77">
  <si>
    <t>Apex Season 21</t>
  </si>
  <si>
    <t>Top 3 RP Gains:</t>
  </si>
  <si>
    <t>Top 3 Champions by total:</t>
  </si>
  <si>
    <t>Top 3 Champions by avg:</t>
  </si>
  <si>
    <t>Top 3 Champions by placement:</t>
  </si>
  <si>
    <t>Match Num</t>
  </si>
  <si>
    <t>Champion</t>
  </si>
  <si>
    <t>Placement</t>
  </si>
  <si>
    <t>RP</t>
  </si>
  <si>
    <t>Rank</t>
  </si>
  <si>
    <t>Total games</t>
  </si>
  <si>
    <t>Games</t>
  </si>
  <si>
    <t>Pick rate</t>
  </si>
  <si>
    <t>Avg rp</t>
  </si>
  <si>
    <t>Avg placement</t>
  </si>
  <si>
    <t>Peak Rank</t>
  </si>
  <si>
    <t>ONLY INPUT DATA IN THE PINK-ISH COLOURED SQUARES</t>
  </si>
  <si>
    <t>Like this one</t>
  </si>
  <si>
    <t>How to use this spreadsheet</t>
  </si>
  <si>
    <t>I have left this entire document editable for anyone if they so desire to tweak things around, but if you are unsure of what you are doing please only input data into the pink cells - This will prevent you from accidentally breaking things.</t>
  </si>
  <si>
    <t>The Table Data and Rank Data sheets are designed solely for back-end number crunching. Feel free to take a look.</t>
  </si>
  <si>
    <t>Finally, the Overview sheet is where you can go to look at your overall statistics, fit with top 3 information and two pretty looking diagrams to help you out.</t>
  </si>
  <si>
    <t>Enjoy and please let me know what you think and of any bugs/improvements you notice! -Alice</t>
  </si>
  <si>
    <t>This spreadsheet is designed to help any players independently keep track of their current apex legends statistics without having to rely on various trackers and their potential flaws, bugs, and data tracking issues.</t>
  </si>
  <si>
    <t>Rookie 4</t>
  </si>
  <si>
    <t>Rookie 3</t>
  </si>
  <si>
    <t>Rookie 2</t>
  </si>
  <si>
    <t>Rookie 1</t>
  </si>
  <si>
    <t>Bronze 4</t>
  </si>
  <si>
    <t>Bronze 3</t>
  </si>
  <si>
    <t>Bronze 2</t>
  </si>
  <si>
    <t>Bronze 1</t>
  </si>
  <si>
    <t>Silver 4</t>
  </si>
  <si>
    <t>Silver 3</t>
  </si>
  <si>
    <t>Silver 2</t>
  </si>
  <si>
    <t>Silver 1</t>
  </si>
  <si>
    <t>Gold 4</t>
  </si>
  <si>
    <t>Gold 3</t>
  </si>
  <si>
    <t>Gold 2</t>
  </si>
  <si>
    <t>Gold 1</t>
  </si>
  <si>
    <t>Platinum 4</t>
  </si>
  <si>
    <t>Platinum 3</t>
  </si>
  <si>
    <t>Platinum 2</t>
  </si>
  <si>
    <t>Platinum 1</t>
  </si>
  <si>
    <t>Diamond 4</t>
  </si>
  <si>
    <t>Diamond 3</t>
  </si>
  <si>
    <t>Diamond 2</t>
  </si>
  <si>
    <t>Diamond 1</t>
  </si>
  <si>
    <t>Masters</t>
  </si>
  <si>
    <t>I have designed this as simply as possible to use. Simply navigate towards the Match data page and fill in the relevant details within the pink boxes. Make sure to add your season starting RP into the top of the F column.</t>
  </si>
  <si>
    <t>Pre-Match RP</t>
  </si>
  <si>
    <t>Bangalore</t>
  </si>
  <si>
    <t>Fuse</t>
  </si>
  <si>
    <t>Ash</t>
  </si>
  <si>
    <t>Maggie</t>
  </si>
  <si>
    <t>Ballistic</t>
  </si>
  <si>
    <t>Pathfinder</t>
  </si>
  <si>
    <t>Wraith</t>
  </si>
  <si>
    <t>Octane</t>
  </si>
  <si>
    <t>Revenant</t>
  </si>
  <si>
    <t>Horizon</t>
  </si>
  <si>
    <t>Valkyrie</t>
  </si>
  <si>
    <t>Bloodhound</t>
  </si>
  <si>
    <t>Crypto</t>
  </si>
  <si>
    <t>Seer</t>
  </si>
  <si>
    <t>Vantage</t>
  </si>
  <si>
    <t>Gibraltar</t>
  </si>
  <si>
    <t>Lifeline</t>
  </si>
  <si>
    <t>Mirage</t>
  </si>
  <si>
    <t>Loba</t>
  </si>
  <si>
    <t>Newcastle</t>
  </si>
  <si>
    <t>Conduit</t>
  </si>
  <si>
    <t>Caustic</t>
  </si>
  <si>
    <t>Wattson</t>
  </si>
  <si>
    <t>Rampart</t>
  </si>
  <si>
    <t>Catalyst</t>
  </si>
  <si>
    <t>Character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</si>
</sst>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u/>
      <sz val="18"/>
      <color theme="1"/>
      <name val="Aptos Narrow"/>
      <family val="2"/>
      <scheme val="minor"/>
    </font>
    <font>
      <sz val="22"/>
      <color theme="1"/>
      <name val="Aptos Narrow"/>
      <family val="2"/>
      <scheme val="minor"/>
    </font>
    <font>
      <sz val="24"/>
      <color theme="1"/>
      <name val="Aptos Narrow"/>
      <family val="2"/>
      <scheme val="minor"/>
    </font>
    <font>
      <sz val="8"/>
      <name val="Aptos Narrow"/>
      <family val="2"/>
      <scheme val="minor"/>
    </font>
  </fonts>
  <fills count="20">
    <fill>
      <patternFill patternType="none"/>
    </fill>
    <fill>
      <patternFill patternType="gray125"/>
    </fill>
    <fill>
      <patternFill patternType="solid">
        <fgColor theme="2" tint="-0.499984740745262"/>
        <bgColor indexed="64"/>
      </patternFill>
    </fill>
    <fill>
      <patternFill patternType="solid">
        <fgColor theme="5"/>
        <bgColor indexed="64"/>
      </patternFill>
    </fill>
    <fill>
      <patternFill patternType="solid">
        <fgColor rgb="FFEAE50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FF0000"/>
        <bgColor indexed="64"/>
      </patternFill>
    </fill>
    <fill>
      <patternFill patternType="solid">
        <fgColor theme="8" tint="0.79998168889431442"/>
        <bgColor indexed="64"/>
      </patternFill>
    </fill>
    <fill>
      <patternFill patternType="solid">
        <fgColor theme="8"/>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rgb="FFD15E4B"/>
        <bgColor indexed="64"/>
      </patternFill>
    </fill>
    <fill>
      <patternFill patternType="solid">
        <fgColor theme="5" tint="-0.499984740745262"/>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5"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s>
  <cellStyleXfs count="1">
    <xf numFmtId="0" fontId="0" fillId="0" borderId="0"/>
  </cellStyleXfs>
  <cellXfs count="46">
    <xf numFmtId="0" fontId="0" fillId="0" borderId="0" xfId="0"/>
    <xf numFmtId="0" fontId="0" fillId="0" borderId="0" xfId="0" applyAlignment="1">
      <alignment horizontal="center"/>
    </xf>
    <xf numFmtId="10" fontId="0" fillId="0" borderId="0" xfId="0" applyNumberFormat="1" applyAlignment="1">
      <alignment horizontal="center"/>
    </xf>
    <xf numFmtId="0" fontId="0" fillId="2" borderId="0" xfId="0" applyFill="1" applyAlignment="1">
      <alignment horizontal="center"/>
    </xf>
    <xf numFmtId="0" fontId="0" fillId="4" borderId="8" xfId="0" applyFill="1" applyBorder="1" applyAlignment="1">
      <alignment horizontal="center"/>
    </xf>
    <xf numFmtId="0" fontId="0" fillId="5" borderId="6" xfId="0" applyFill="1" applyBorder="1" applyAlignment="1">
      <alignment horizontal="center"/>
    </xf>
    <xf numFmtId="0" fontId="0" fillId="6" borderId="6" xfId="0" applyFill="1" applyBorder="1" applyAlignment="1">
      <alignment horizontal="center"/>
    </xf>
    <xf numFmtId="0" fontId="0" fillId="6" borderId="7" xfId="0" applyFill="1" applyBorder="1" applyAlignment="1">
      <alignment horizontal="center"/>
    </xf>
    <xf numFmtId="0" fontId="0" fillId="7" borderId="4" xfId="0" applyFill="1" applyBorder="1" applyAlignment="1">
      <alignment horizontal="left"/>
    </xf>
    <xf numFmtId="0" fontId="0" fillId="4" borderId="10" xfId="0" applyFill="1" applyBorder="1" applyAlignment="1">
      <alignment horizontal="center"/>
    </xf>
    <xf numFmtId="0" fontId="0" fillId="7" borderId="4" xfId="0" applyFill="1" applyBorder="1" applyAlignment="1">
      <alignment horizontal="center"/>
    </xf>
    <xf numFmtId="0" fontId="0" fillId="9" borderId="12" xfId="0" applyFill="1" applyBorder="1" applyAlignment="1">
      <alignment horizontal="center"/>
    </xf>
    <xf numFmtId="0" fontId="0" fillId="9" borderId="3" xfId="0" applyFill="1" applyBorder="1" applyAlignment="1">
      <alignment horizontal="center"/>
    </xf>
    <xf numFmtId="0" fontId="0" fillId="9" borderId="13" xfId="0" applyFill="1" applyBorder="1" applyAlignment="1">
      <alignment horizontal="center"/>
    </xf>
    <xf numFmtId="0" fontId="0" fillId="9" borderId="1" xfId="0" applyFill="1" applyBorder="1" applyAlignment="1">
      <alignment horizontal="center"/>
    </xf>
    <xf numFmtId="0" fontId="0" fillId="9" borderId="14" xfId="0" applyFill="1" applyBorder="1" applyAlignment="1">
      <alignment horizontal="center"/>
    </xf>
    <xf numFmtId="0" fontId="2" fillId="10" borderId="0" xfId="0" applyFont="1" applyFill="1" applyAlignment="1">
      <alignment vertical="top" wrapText="1"/>
    </xf>
    <xf numFmtId="0" fontId="0" fillId="11" borderId="0" xfId="0" applyFill="1"/>
    <xf numFmtId="0" fontId="0" fillId="11" borderId="2" xfId="0" applyFill="1" applyBorder="1" applyAlignment="1">
      <alignment horizontal="center"/>
    </xf>
    <xf numFmtId="0" fontId="0" fillId="11" borderId="11" xfId="0" applyFill="1" applyBorder="1" applyAlignment="1">
      <alignment horizontal="center"/>
    </xf>
    <xf numFmtId="0" fontId="0" fillId="11" borderId="6" xfId="0" applyFill="1" applyBorder="1" applyAlignment="1">
      <alignment horizontal="center"/>
    </xf>
    <xf numFmtId="0" fontId="0" fillId="11" borderId="0" xfId="0" applyFill="1" applyAlignment="1">
      <alignment horizontal="center"/>
    </xf>
    <xf numFmtId="0" fontId="0" fillId="12" borderId="9" xfId="0" applyFill="1" applyBorder="1" applyAlignment="1">
      <alignment horizontal="center"/>
    </xf>
    <xf numFmtId="0" fontId="0" fillId="12" borderId="10" xfId="0" applyFill="1" applyBorder="1" applyAlignment="1">
      <alignment horizontal="center"/>
    </xf>
    <xf numFmtId="0" fontId="0" fillId="12" borderId="0" xfId="0" applyFill="1" applyAlignment="1">
      <alignment horizontal="center"/>
    </xf>
    <xf numFmtId="0" fontId="0" fillId="12" borderId="0" xfId="0" applyFill="1" applyAlignment="1">
      <alignment horizontal="center" vertical="center"/>
    </xf>
    <xf numFmtId="0" fontId="2" fillId="10" borderId="0" xfId="0" applyFont="1" applyFill="1" applyAlignment="1">
      <alignment horizontal="center" vertical="top" wrapText="1"/>
    </xf>
    <xf numFmtId="0" fontId="3" fillId="10" borderId="0" xfId="0" applyFont="1" applyFill="1" applyAlignment="1">
      <alignment horizontal="center" vertical="center"/>
    </xf>
    <xf numFmtId="0" fontId="1" fillId="3" borderId="0" xfId="0" applyFont="1" applyFill="1" applyAlignment="1">
      <alignment horizontal="center" vertical="center"/>
    </xf>
    <xf numFmtId="0" fontId="2" fillId="8" borderId="0" xfId="0" applyFont="1" applyFill="1" applyAlignment="1">
      <alignment horizontal="center" vertical="center"/>
    </xf>
    <xf numFmtId="0" fontId="0" fillId="9" borderId="0" xfId="0" applyFill="1" applyAlignment="1">
      <alignment horizontal="center" vertical="center"/>
    </xf>
    <xf numFmtId="0" fontId="0" fillId="0" borderId="0" xfId="0" applyAlignment="1">
      <alignment horizontal="center" vertical="top"/>
    </xf>
    <xf numFmtId="0" fontId="0" fillId="11" borderId="15" xfId="0" applyFill="1" applyBorder="1" applyAlignment="1">
      <alignment horizontal="center"/>
    </xf>
    <xf numFmtId="0" fontId="0" fillId="9" borderId="16" xfId="0" applyFill="1" applyBorder="1" applyAlignment="1">
      <alignment horizontal="center"/>
    </xf>
    <xf numFmtId="0" fontId="0" fillId="2" borderId="4" xfId="0" applyFill="1" applyBorder="1" applyAlignment="1">
      <alignment horizontal="center"/>
    </xf>
    <xf numFmtId="0" fontId="0" fillId="2" borderId="17" xfId="0" applyFill="1" applyBorder="1" applyAlignment="1">
      <alignment horizontal="center"/>
    </xf>
    <xf numFmtId="0" fontId="0" fillId="13" borderId="0" xfId="0" applyFill="1" applyAlignment="1">
      <alignment horizontal="center" vertical="top"/>
    </xf>
    <xf numFmtId="0" fontId="0" fillId="14" borderId="0" xfId="0" applyFill="1" applyAlignment="1">
      <alignment horizontal="center" vertical="top"/>
    </xf>
    <xf numFmtId="0" fontId="0" fillId="15" borderId="0" xfId="0" applyFill="1" applyAlignment="1">
      <alignment horizontal="center" vertical="top"/>
    </xf>
    <xf numFmtId="0" fontId="0" fillId="4" borderId="0" xfId="0" applyFill="1" applyAlignment="1">
      <alignment horizontal="center" vertical="top"/>
    </xf>
    <xf numFmtId="0" fontId="0" fillId="16" borderId="0" xfId="0" applyFill="1" applyAlignment="1">
      <alignment horizontal="center" vertical="top"/>
    </xf>
    <xf numFmtId="0" fontId="0" fillId="17" borderId="0" xfId="0" applyFill="1" applyAlignment="1">
      <alignment horizontal="center" vertical="top"/>
    </xf>
    <xf numFmtId="0" fontId="0" fillId="18" borderId="0" xfId="0" applyFill="1" applyAlignment="1">
      <alignment horizontal="center" vertical="top"/>
    </xf>
    <xf numFmtId="0" fontId="0" fillId="19" borderId="5" xfId="0" applyFill="1" applyBorder="1" applyAlignment="1">
      <alignment horizontal="center"/>
    </xf>
    <xf numFmtId="0" fontId="0" fillId="19" borderId="9" xfId="0" applyFill="1" applyBorder="1" applyAlignment="1">
      <alignment horizontal="center"/>
    </xf>
    <xf numFmtId="0" fontId="0" fillId="19" borderId="10" xfId="0" applyFill="1" applyBorder="1" applyAlignment="1">
      <alignment horizontal="center"/>
    </xf>
  </cellXfs>
  <cellStyles count="1">
    <cellStyle name="Normal" xfId="0" builtinId="0"/>
  </cellStyles>
  <dxfs count="9">
    <dxf>
      <fill>
        <patternFill>
          <bgColor rgb="FF7030A0"/>
        </patternFill>
      </fill>
    </dxf>
    <dxf>
      <fill>
        <patternFill>
          <bgColor theme="5" tint="-0.499984740745262"/>
        </patternFill>
      </fill>
    </dxf>
    <dxf>
      <fill>
        <patternFill>
          <bgColor theme="5" tint="0.39994506668294322"/>
        </patternFill>
      </fill>
    </dxf>
    <dxf>
      <fill>
        <patternFill>
          <bgColor theme="2" tint="-9.9948118533890809E-2"/>
        </patternFill>
      </fill>
    </dxf>
    <dxf>
      <fill>
        <patternFill>
          <bgColor rgb="FFEFC631"/>
        </patternFill>
      </fill>
    </dxf>
    <dxf>
      <fill>
        <patternFill>
          <bgColor theme="4" tint="0.59996337778862885"/>
        </patternFill>
      </fill>
    </dxf>
    <dxf>
      <fill>
        <patternFill>
          <bgColor rgb="FF00B0F0"/>
        </patternFill>
      </fill>
    </dxf>
    <dxf>
      <fill>
        <patternFill>
          <bgColor theme="5" tint="-0.499984740745262"/>
        </patternFill>
      </fill>
    </dxf>
    <dxf>
      <fill>
        <patternFill>
          <bgColor theme="5" tint="-0.499984740745262"/>
        </patternFill>
      </fill>
    </dxf>
  </dxfs>
  <tableStyles count="0" defaultTableStyle="TableStyleMedium2" defaultPivotStyle="PivotStyleLight16"/>
  <colors>
    <mruColors>
      <color rgb="FFEFC631"/>
      <color rgb="FFEAE503"/>
      <color rgb="FFD15E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Total</a:t>
            </a:r>
            <a:r>
              <a:rPr lang="en-GB" baseline="0"/>
              <a:t> RP Over Time</a:t>
            </a:r>
          </a:p>
          <a:p>
            <a:pPr>
              <a:defRPr/>
            </a:pPr>
            <a:endParaRPr lang="en-GB"/>
          </a:p>
        </c:rich>
      </c:tx>
      <c:layout>
        <c:manualLayout>
          <c:xMode val="edge"/>
          <c:yMode val="edge"/>
          <c:x val="0.47083746154247269"/>
          <c:y val="1.226053541211086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'Match data'!$E$2:$E$201</c:f>
              <c:numCache>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smooth val="0"/>
          <c:extLst>
            <c:ext xmlns:c16="http://schemas.microsoft.com/office/drawing/2014/chart" uri="{C3380CC4-5D6E-409C-BE32-E72D297353CC}">
              <c16:uniqueId val="{00000000-3537-496F-9419-4B58B7714404}"/>
            </c:ext>
          </c:extLst>
        </c:ser>
        <c:dLbls>
          <c:showLegendKey val="0"/>
          <c:showVal val="0"/>
          <c:showCatName val="0"/>
          <c:showSerName val="0"/>
          <c:showPercent val="0"/>
          <c:showBubbleSize val="0"/>
        </c:dLbls>
        <c:smooth val="0"/>
        <c:axId val="91365248"/>
        <c:axId val="91366208"/>
      </c:lineChart>
      <c:catAx>
        <c:axId val="91365248"/>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6208"/>
        <c:crosses val="autoZero"/>
        <c:auto val="1"/>
        <c:lblAlgn val="ctr"/>
        <c:lblOffset val="100"/>
        <c:noMultiLvlLbl val="0"/>
      </c:catAx>
      <c:valAx>
        <c:axId val="91366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Average Placement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'Table Data'!$A$2:$A$26</c:f>
              <c:strCache>
                <c:ptCount val="25"/>
                <c:pt idx="0">
                  <c:v>Bangalore</c:v>
                </c:pt>
                <c:pt idx="1">
                  <c:v>Fuse</c:v>
                </c:pt>
                <c:pt idx="2">
                  <c:v>Ash</c:v>
                </c:pt>
                <c:pt idx="3">
                  <c:v>Maggie</c:v>
                </c:pt>
                <c:pt idx="4">
                  <c:v>Ballistic</c:v>
                </c:pt>
                <c:pt idx="5">
                  <c:v>Pathfinder</c:v>
                </c:pt>
                <c:pt idx="6">
                  <c:v>Wraith</c:v>
                </c:pt>
                <c:pt idx="7">
                  <c:v>Octane</c:v>
                </c:pt>
                <c:pt idx="8">
                  <c:v>Revenant</c:v>
                </c:pt>
                <c:pt idx="9">
                  <c:v>Horizon</c:v>
                </c:pt>
                <c:pt idx="10">
                  <c:v>Valkyrie</c:v>
                </c:pt>
                <c:pt idx="11">
                  <c:v>Bloodhound</c:v>
                </c:pt>
                <c:pt idx="12">
                  <c:v>Crypto</c:v>
                </c:pt>
                <c:pt idx="13">
                  <c:v>Seer</c:v>
                </c:pt>
                <c:pt idx="14">
                  <c:v>Vantage</c:v>
                </c:pt>
                <c:pt idx="15">
                  <c:v>Gibraltar</c:v>
                </c:pt>
                <c:pt idx="16">
                  <c:v>Lifeline</c:v>
                </c:pt>
                <c:pt idx="17">
                  <c:v>Mirage</c:v>
                </c:pt>
                <c:pt idx="18">
                  <c:v>Loba</c:v>
                </c:pt>
                <c:pt idx="19">
                  <c:v>Newcastle</c:v>
                </c:pt>
                <c:pt idx="20">
                  <c:v>Conduit</c:v>
                </c:pt>
                <c:pt idx="21">
                  <c:v>Caustic</c:v>
                </c:pt>
                <c:pt idx="22">
                  <c:v>Wattson</c:v>
                </c:pt>
                <c:pt idx="23">
                  <c:v>Rampart</c:v>
                </c:pt>
                <c:pt idx="24">
                  <c:v>Catalyst</c:v>
                </c:pt>
              </c:strCache>
            </c:strRef>
          </c:cat>
          <c:val>
            <c:numRef>
              <c:f>'Table Data'!$F$2:$F$26</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CFD-431B-9FD1-637CFFBB8710}"/>
            </c:ext>
          </c:extLst>
        </c:ser>
        <c:dLbls>
          <c:showLegendKey val="0"/>
          <c:showVal val="0"/>
          <c:showCatName val="0"/>
          <c:showSerName val="0"/>
          <c:showPercent val="0"/>
          <c:showBubbleSize val="0"/>
        </c:dLbls>
        <c:gapWidth val="100"/>
        <c:overlap val="-24"/>
        <c:axId val="110149776"/>
        <c:axId val="110151216"/>
      </c:barChart>
      <c:catAx>
        <c:axId val="110149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51216"/>
        <c:crosses val="autoZero"/>
        <c:auto val="1"/>
        <c:lblAlgn val="ctr"/>
        <c:lblOffset val="100"/>
        <c:noMultiLvlLbl val="0"/>
      </c:catAx>
      <c:valAx>
        <c:axId val="1101512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49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581025</xdr:colOff>
      <xdr:row>20</xdr:row>
      <xdr:rowOff>166686</xdr:rowOff>
    </xdr:from>
    <xdr:to>
      <xdr:col>32</xdr:col>
      <xdr:colOff>314325</xdr:colOff>
      <xdr:row>53</xdr:row>
      <xdr:rowOff>95249</xdr:rowOff>
    </xdr:to>
    <xdr:graphicFrame macro="">
      <xdr:nvGraphicFramePr>
        <xdr:cNvPr id="3" name="Chart 2">
          <a:extLst>
            <a:ext uri="{FF2B5EF4-FFF2-40B4-BE49-F238E27FC236}">
              <a16:creationId xmlns:a16="http://schemas.microsoft.com/office/drawing/2014/main" id="{B406B83A-F1C4-BC1A-1BE0-FCABF43A50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485775</xdr:colOff>
      <xdr:row>2</xdr:row>
      <xdr:rowOff>19050</xdr:rowOff>
    </xdr:from>
    <xdr:to>
      <xdr:col>32</xdr:col>
      <xdr:colOff>314325</xdr:colOff>
      <xdr:row>20</xdr:row>
      <xdr:rowOff>171450</xdr:rowOff>
    </xdr:to>
    <xdr:graphicFrame macro="">
      <xdr:nvGraphicFramePr>
        <xdr:cNvPr id="5" name="Chart 4">
          <a:extLst>
            <a:ext uri="{FF2B5EF4-FFF2-40B4-BE49-F238E27FC236}">
              <a16:creationId xmlns:a16="http://schemas.microsoft.com/office/drawing/2014/main" id="{281785D0-3A03-4D26-93CE-9BA372036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U58"/>
  <sheetViews>
    <sheetView workbookViewId="0">
      <selection activeCell="AE33" sqref="AE33"/>
    </sheetView>
  </sheetViews>
  <sheetFormatPr defaultRowHeight="15" x14ac:dyDescent="0.25"/>
  <sheetData>
    <row r="1" spans="1:47" ht="16.5" customHeight="1" x14ac:dyDescent="0.25">
      <c r="A1" s="17"/>
      <c r="B1" s="17"/>
      <c r="C1" s="17"/>
      <c r="D1" s="17"/>
      <c r="E1" s="17"/>
      <c r="F1" s="17"/>
      <c r="G1" s="17"/>
      <c r="H1" s="17"/>
      <c r="I1" s="17"/>
      <c r="J1" s="17"/>
      <c r="K1" s="17"/>
      <c r="L1" s="17"/>
      <c r="M1" s="17"/>
      <c r="N1" s="17"/>
      <c r="O1" s="27" t="s">
        <v>18</v>
      </c>
      <c r="P1" s="27"/>
      <c r="Q1" s="27"/>
      <c r="R1" s="27"/>
      <c r="S1" s="27"/>
      <c r="T1" s="27"/>
      <c r="U1" s="27"/>
      <c r="V1" s="27"/>
      <c r="W1" s="27"/>
      <c r="X1" s="27"/>
      <c r="Y1" s="27"/>
      <c r="Z1" s="27"/>
      <c r="AA1" s="17"/>
      <c r="AB1" s="17"/>
      <c r="AC1" s="17"/>
      <c r="AD1" s="17"/>
      <c r="AE1" s="17"/>
      <c r="AF1" s="17"/>
      <c r="AG1" s="17"/>
      <c r="AH1" s="17"/>
      <c r="AI1" s="17"/>
      <c r="AJ1" s="17"/>
      <c r="AK1" s="17"/>
      <c r="AL1" s="17"/>
      <c r="AM1" s="17"/>
      <c r="AN1" s="17"/>
      <c r="AO1" s="17"/>
      <c r="AP1" s="17"/>
      <c r="AQ1" s="17"/>
      <c r="AR1" s="17"/>
      <c r="AS1" s="17"/>
      <c r="AT1" s="17"/>
      <c r="AU1" s="17"/>
    </row>
    <row r="2" spans="1:47" ht="15" customHeight="1" x14ac:dyDescent="0.25">
      <c r="A2" s="17"/>
      <c r="B2" s="17"/>
      <c r="C2" s="17"/>
      <c r="D2" s="17"/>
      <c r="E2" s="17"/>
      <c r="F2" s="17"/>
      <c r="G2" s="17"/>
      <c r="H2" s="17"/>
      <c r="I2" s="17"/>
      <c r="J2" s="17"/>
      <c r="K2" s="17"/>
      <c r="L2" s="17"/>
      <c r="M2" s="17"/>
      <c r="N2" s="17"/>
      <c r="O2" s="27"/>
      <c r="P2" s="27"/>
      <c r="Q2" s="27"/>
      <c r="R2" s="27"/>
      <c r="S2" s="27"/>
      <c r="T2" s="27"/>
      <c r="U2" s="27"/>
      <c r="V2" s="27"/>
      <c r="W2" s="27"/>
      <c r="X2" s="27"/>
      <c r="Y2" s="27"/>
      <c r="Z2" s="27"/>
      <c r="AA2" s="17"/>
      <c r="AB2" s="17"/>
      <c r="AC2" s="17"/>
      <c r="AD2" s="17"/>
      <c r="AE2" s="17"/>
      <c r="AF2" s="17"/>
      <c r="AG2" s="17"/>
      <c r="AH2" s="17"/>
      <c r="AI2" s="17"/>
      <c r="AJ2" s="17"/>
      <c r="AK2" s="17"/>
      <c r="AL2" s="17"/>
      <c r="AM2" s="17"/>
      <c r="AN2" s="17"/>
      <c r="AO2" s="17"/>
      <c r="AP2" s="17"/>
      <c r="AQ2" s="17"/>
      <c r="AR2" s="17"/>
      <c r="AS2" s="17"/>
      <c r="AT2" s="17"/>
      <c r="AU2" s="17"/>
    </row>
    <row r="3" spans="1:47" ht="15" customHeight="1" x14ac:dyDescent="0.25">
      <c r="A3" s="17"/>
      <c r="B3" s="17"/>
      <c r="C3" s="17"/>
      <c r="D3" s="17"/>
      <c r="E3" s="17"/>
      <c r="F3" s="17"/>
      <c r="G3" s="17"/>
      <c r="H3" s="17"/>
      <c r="I3" s="17"/>
      <c r="J3" s="17"/>
      <c r="K3" s="17"/>
      <c r="L3" s="17"/>
      <c r="M3" s="17"/>
      <c r="N3" s="17"/>
      <c r="O3" s="27"/>
      <c r="P3" s="27"/>
      <c r="Q3" s="27"/>
      <c r="R3" s="27"/>
      <c r="S3" s="27"/>
      <c r="T3" s="27"/>
      <c r="U3" s="27"/>
      <c r="V3" s="27"/>
      <c r="W3" s="27"/>
      <c r="X3" s="27"/>
      <c r="Y3" s="27"/>
      <c r="Z3" s="27"/>
      <c r="AA3" s="17"/>
      <c r="AB3" s="17"/>
      <c r="AC3" s="17"/>
      <c r="AD3" s="17"/>
      <c r="AE3" s="17"/>
      <c r="AF3" s="17"/>
      <c r="AG3" s="17"/>
      <c r="AH3" s="17"/>
      <c r="AI3" s="17"/>
      <c r="AJ3" s="17"/>
      <c r="AK3" s="17"/>
      <c r="AL3" s="17"/>
      <c r="AM3" s="17"/>
      <c r="AN3" s="17"/>
      <c r="AO3" s="17"/>
      <c r="AP3" s="17"/>
      <c r="AQ3" s="17"/>
      <c r="AR3" s="17"/>
      <c r="AS3" s="17"/>
      <c r="AT3" s="17"/>
      <c r="AU3" s="17"/>
    </row>
    <row r="4" spans="1:47" ht="15" customHeight="1" x14ac:dyDescent="0.25">
      <c r="A4" s="17"/>
      <c r="B4" s="17"/>
      <c r="C4" s="17"/>
      <c r="D4" s="17"/>
      <c r="E4" s="17"/>
      <c r="F4" s="17"/>
      <c r="G4" s="17"/>
      <c r="H4" s="17"/>
      <c r="I4" s="17"/>
      <c r="J4" s="17"/>
      <c r="K4" s="17"/>
      <c r="L4" s="17"/>
      <c r="M4" s="17"/>
      <c r="N4" s="17"/>
      <c r="O4" s="27"/>
      <c r="P4" s="27"/>
      <c r="Q4" s="27"/>
      <c r="R4" s="27"/>
      <c r="S4" s="27"/>
      <c r="T4" s="27"/>
      <c r="U4" s="27"/>
      <c r="V4" s="27"/>
      <c r="W4" s="27"/>
      <c r="X4" s="27"/>
      <c r="Y4" s="27"/>
      <c r="Z4" s="27"/>
      <c r="AA4" s="17"/>
      <c r="AB4" s="17"/>
      <c r="AC4" s="17"/>
      <c r="AD4" s="17"/>
      <c r="AE4" s="17"/>
      <c r="AF4" s="17"/>
      <c r="AG4" s="17"/>
      <c r="AH4" s="17"/>
      <c r="AI4" s="17"/>
      <c r="AJ4" s="17"/>
      <c r="AK4" s="17"/>
      <c r="AL4" s="17"/>
      <c r="AM4" s="17"/>
      <c r="AN4" s="17"/>
      <c r="AO4" s="17"/>
      <c r="AP4" s="17"/>
      <c r="AQ4" s="17"/>
      <c r="AR4" s="17"/>
      <c r="AS4" s="17"/>
      <c r="AT4" s="17"/>
      <c r="AU4" s="17"/>
    </row>
    <row r="5" spans="1:47" ht="15" customHeight="1" x14ac:dyDescent="0.25">
      <c r="A5" s="17"/>
      <c r="B5" s="17"/>
      <c r="C5" s="17"/>
      <c r="D5" s="17"/>
      <c r="E5" s="17"/>
      <c r="F5" s="17"/>
      <c r="G5" s="17"/>
      <c r="H5" s="17"/>
      <c r="I5" s="17"/>
      <c r="J5" s="17"/>
      <c r="K5" s="17"/>
      <c r="L5" s="17"/>
      <c r="M5" s="17"/>
      <c r="N5" s="17"/>
      <c r="O5" s="27"/>
      <c r="P5" s="27"/>
      <c r="Q5" s="27"/>
      <c r="R5" s="27"/>
      <c r="S5" s="27"/>
      <c r="T5" s="27"/>
      <c r="U5" s="27"/>
      <c r="V5" s="27"/>
      <c r="W5" s="27"/>
      <c r="X5" s="27"/>
      <c r="Y5" s="27"/>
      <c r="Z5" s="27"/>
      <c r="AA5" s="17"/>
      <c r="AB5" s="17"/>
      <c r="AC5" s="17"/>
      <c r="AD5" s="17"/>
      <c r="AE5" s="17"/>
      <c r="AF5" s="17"/>
      <c r="AG5" s="17"/>
      <c r="AH5" s="17"/>
      <c r="AI5" s="17"/>
      <c r="AJ5" s="17"/>
      <c r="AK5" s="17"/>
      <c r="AL5" s="17"/>
      <c r="AM5" s="17"/>
      <c r="AN5" s="17"/>
      <c r="AO5" s="17"/>
      <c r="AP5" s="17"/>
      <c r="AQ5" s="17"/>
      <c r="AR5" s="17"/>
      <c r="AS5" s="17"/>
      <c r="AT5" s="17"/>
      <c r="AU5" s="17"/>
    </row>
    <row r="6" spans="1:47" ht="15" customHeight="1" x14ac:dyDescent="0.25">
      <c r="A6" s="17"/>
      <c r="B6" s="17"/>
      <c r="C6" s="17"/>
      <c r="D6" s="17"/>
      <c r="E6" s="17"/>
      <c r="F6" s="17"/>
      <c r="G6" s="17"/>
      <c r="H6" s="17"/>
      <c r="I6" s="17"/>
      <c r="J6" s="17"/>
      <c r="K6" s="17"/>
      <c r="L6" s="17"/>
      <c r="M6" s="17"/>
      <c r="N6" s="17"/>
      <c r="O6" s="27"/>
      <c r="P6" s="27"/>
      <c r="Q6" s="27"/>
      <c r="R6" s="27"/>
      <c r="S6" s="27"/>
      <c r="T6" s="27"/>
      <c r="U6" s="27"/>
      <c r="V6" s="27"/>
      <c r="W6" s="27"/>
      <c r="X6" s="27"/>
      <c r="Y6" s="27"/>
      <c r="Z6" s="27"/>
      <c r="AA6" s="17"/>
      <c r="AB6" s="17"/>
      <c r="AC6" s="17"/>
      <c r="AD6" s="17"/>
      <c r="AE6" s="17"/>
      <c r="AF6" s="17"/>
      <c r="AG6" s="17"/>
      <c r="AH6" s="17"/>
      <c r="AI6" s="17"/>
      <c r="AJ6" s="17"/>
      <c r="AK6" s="17"/>
      <c r="AL6" s="17"/>
      <c r="AM6" s="17"/>
      <c r="AN6" s="17"/>
      <c r="AO6" s="17"/>
      <c r="AP6" s="17"/>
      <c r="AQ6" s="17"/>
      <c r="AR6" s="17"/>
      <c r="AS6" s="17"/>
      <c r="AT6" s="17"/>
      <c r="AU6" s="17"/>
    </row>
    <row r="7" spans="1:47" ht="15" customHeight="1" x14ac:dyDescent="0.25">
      <c r="A7" s="17"/>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row>
    <row r="8" spans="1:47" x14ac:dyDescent="0.25">
      <c r="A8" s="17"/>
      <c r="B8" s="17"/>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row>
    <row r="9" spans="1:47" ht="15" customHeight="1" x14ac:dyDescent="0.25">
      <c r="A9" s="17"/>
      <c r="B9" s="26" t="s">
        <v>23</v>
      </c>
      <c r="C9" s="26"/>
      <c r="D9" s="26"/>
      <c r="E9" s="26"/>
      <c r="F9" s="26"/>
      <c r="G9" s="26"/>
      <c r="H9" s="26"/>
      <c r="I9" s="26"/>
      <c r="J9" s="26"/>
      <c r="K9" s="26"/>
      <c r="L9" s="26"/>
      <c r="M9" s="26"/>
      <c r="N9" s="17"/>
      <c r="O9" s="26" t="s">
        <v>49</v>
      </c>
      <c r="P9" s="26"/>
      <c r="Q9" s="26"/>
      <c r="R9" s="26"/>
      <c r="S9" s="26"/>
      <c r="T9" s="26"/>
      <c r="U9" s="26"/>
      <c r="V9" s="26"/>
      <c r="W9" s="26"/>
      <c r="X9" s="26"/>
      <c r="Y9" s="26"/>
      <c r="Z9" s="26"/>
      <c r="AA9" s="17"/>
      <c r="AB9" s="26" t="s">
        <v>20</v>
      </c>
      <c r="AC9" s="26"/>
      <c r="AD9" s="26"/>
      <c r="AE9" s="26"/>
      <c r="AF9" s="26"/>
      <c r="AG9" s="26"/>
      <c r="AH9" s="26"/>
      <c r="AI9" s="26"/>
      <c r="AJ9" s="26"/>
      <c r="AK9" s="26"/>
      <c r="AL9" s="26"/>
      <c r="AM9" s="26"/>
      <c r="AN9" s="17"/>
      <c r="AO9" s="17"/>
      <c r="AP9" s="17"/>
      <c r="AQ9" s="17"/>
      <c r="AR9" s="17"/>
      <c r="AS9" s="17"/>
      <c r="AT9" s="17"/>
      <c r="AU9" s="17"/>
    </row>
    <row r="10" spans="1:47" ht="15" customHeight="1" x14ac:dyDescent="0.25">
      <c r="A10" s="17"/>
      <c r="B10" s="26"/>
      <c r="C10" s="26"/>
      <c r="D10" s="26"/>
      <c r="E10" s="26"/>
      <c r="F10" s="26"/>
      <c r="G10" s="26"/>
      <c r="H10" s="26"/>
      <c r="I10" s="26"/>
      <c r="J10" s="26"/>
      <c r="K10" s="26"/>
      <c r="L10" s="26"/>
      <c r="M10" s="26"/>
      <c r="N10" s="17"/>
      <c r="O10" s="26"/>
      <c r="P10" s="26"/>
      <c r="Q10" s="26"/>
      <c r="R10" s="26"/>
      <c r="S10" s="26"/>
      <c r="T10" s="26"/>
      <c r="U10" s="26"/>
      <c r="V10" s="26"/>
      <c r="W10" s="26"/>
      <c r="X10" s="26"/>
      <c r="Y10" s="26"/>
      <c r="Z10" s="26"/>
      <c r="AA10" s="17"/>
      <c r="AB10" s="26"/>
      <c r="AC10" s="26"/>
      <c r="AD10" s="26"/>
      <c r="AE10" s="26"/>
      <c r="AF10" s="26"/>
      <c r="AG10" s="26"/>
      <c r="AH10" s="26"/>
      <c r="AI10" s="26"/>
      <c r="AJ10" s="26"/>
      <c r="AK10" s="26"/>
      <c r="AL10" s="26"/>
      <c r="AM10" s="26"/>
      <c r="AN10" s="17"/>
      <c r="AO10" s="17"/>
      <c r="AP10" s="17"/>
      <c r="AQ10" s="17"/>
      <c r="AR10" s="17"/>
      <c r="AS10" s="17"/>
      <c r="AT10" s="17"/>
      <c r="AU10" s="17"/>
    </row>
    <row r="11" spans="1:47" ht="15" customHeight="1" x14ac:dyDescent="0.25">
      <c r="A11" s="17"/>
      <c r="B11" s="26"/>
      <c r="C11" s="26"/>
      <c r="D11" s="26"/>
      <c r="E11" s="26"/>
      <c r="F11" s="26"/>
      <c r="G11" s="26"/>
      <c r="H11" s="26"/>
      <c r="I11" s="26"/>
      <c r="J11" s="26"/>
      <c r="K11" s="26"/>
      <c r="L11" s="26"/>
      <c r="M11" s="26"/>
      <c r="N11" s="17"/>
      <c r="O11" s="26"/>
      <c r="P11" s="26"/>
      <c r="Q11" s="26"/>
      <c r="R11" s="26"/>
      <c r="S11" s="26"/>
      <c r="T11" s="26"/>
      <c r="U11" s="26"/>
      <c r="V11" s="26"/>
      <c r="W11" s="26"/>
      <c r="X11" s="26"/>
      <c r="Y11" s="26"/>
      <c r="Z11" s="26"/>
      <c r="AA11" s="17"/>
      <c r="AB11" s="26"/>
      <c r="AC11" s="26"/>
      <c r="AD11" s="26"/>
      <c r="AE11" s="26"/>
      <c r="AF11" s="26"/>
      <c r="AG11" s="26"/>
      <c r="AH11" s="26"/>
      <c r="AI11" s="26"/>
      <c r="AJ11" s="26"/>
      <c r="AK11" s="26"/>
      <c r="AL11" s="26"/>
      <c r="AM11" s="26"/>
      <c r="AN11" s="17"/>
      <c r="AO11" s="17"/>
      <c r="AP11" s="17"/>
      <c r="AQ11" s="17"/>
      <c r="AR11" s="17"/>
      <c r="AS11" s="17"/>
      <c r="AT11" s="17"/>
      <c r="AU11" s="17"/>
    </row>
    <row r="12" spans="1:47" ht="15" customHeight="1" x14ac:dyDescent="0.25">
      <c r="A12" s="17"/>
      <c r="B12" s="26"/>
      <c r="C12" s="26"/>
      <c r="D12" s="26"/>
      <c r="E12" s="26"/>
      <c r="F12" s="26"/>
      <c r="G12" s="26"/>
      <c r="H12" s="26"/>
      <c r="I12" s="26"/>
      <c r="J12" s="26"/>
      <c r="K12" s="26"/>
      <c r="L12" s="26"/>
      <c r="M12" s="26"/>
      <c r="N12" s="17"/>
      <c r="O12" s="26"/>
      <c r="P12" s="26"/>
      <c r="Q12" s="26"/>
      <c r="R12" s="26"/>
      <c r="S12" s="26"/>
      <c r="T12" s="26"/>
      <c r="U12" s="26"/>
      <c r="V12" s="26"/>
      <c r="W12" s="26"/>
      <c r="X12" s="26"/>
      <c r="Y12" s="26"/>
      <c r="Z12" s="26"/>
      <c r="AA12" s="17"/>
      <c r="AB12" s="26"/>
      <c r="AC12" s="26"/>
      <c r="AD12" s="26"/>
      <c r="AE12" s="26"/>
      <c r="AF12" s="26"/>
      <c r="AG12" s="26"/>
      <c r="AH12" s="26"/>
      <c r="AI12" s="26"/>
      <c r="AJ12" s="26"/>
      <c r="AK12" s="26"/>
      <c r="AL12" s="26"/>
      <c r="AM12" s="26"/>
      <c r="AN12" s="17"/>
      <c r="AO12" s="17"/>
      <c r="AP12" s="17"/>
      <c r="AQ12" s="17"/>
      <c r="AR12" s="17"/>
      <c r="AS12" s="17"/>
      <c r="AT12" s="17"/>
      <c r="AU12" s="17"/>
    </row>
    <row r="13" spans="1:47" ht="15" customHeight="1" x14ac:dyDescent="0.25">
      <c r="A13" s="17"/>
      <c r="B13" s="26"/>
      <c r="C13" s="26"/>
      <c r="D13" s="26"/>
      <c r="E13" s="26"/>
      <c r="F13" s="26"/>
      <c r="G13" s="26"/>
      <c r="H13" s="26"/>
      <c r="I13" s="26"/>
      <c r="J13" s="26"/>
      <c r="K13" s="26"/>
      <c r="L13" s="26"/>
      <c r="M13" s="26"/>
      <c r="N13" s="17"/>
      <c r="O13" s="26"/>
      <c r="P13" s="26"/>
      <c r="Q13" s="26"/>
      <c r="R13" s="26"/>
      <c r="S13" s="26"/>
      <c r="T13" s="26"/>
      <c r="U13" s="26"/>
      <c r="V13" s="26"/>
      <c r="W13" s="26"/>
      <c r="X13" s="26"/>
      <c r="Y13" s="26"/>
      <c r="Z13" s="26"/>
      <c r="AA13" s="17"/>
      <c r="AB13" s="26"/>
      <c r="AC13" s="26"/>
      <c r="AD13" s="26"/>
      <c r="AE13" s="26"/>
      <c r="AF13" s="26"/>
      <c r="AG13" s="26"/>
      <c r="AH13" s="26"/>
      <c r="AI13" s="26"/>
      <c r="AJ13" s="26"/>
      <c r="AK13" s="26"/>
      <c r="AL13" s="26"/>
      <c r="AM13" s="26"/>
      <c r="AN13" s="17"/>
      <c r="AO13" s="17"/>
      <c r="AP13" s="17"/>
      <c r="AQ13" s="17"/>
      <c r="AR13" s="17"/>
      <c r="AS13" s="17"/>
      <c r="AT13" s="17"/>
      <c r="AU13" s="17"/>
    </row>
    <row r="14" spans="1:47" ht="15" customHeight="1" x14ac:dyDescent="0.25">
      <c r="A14" s="17"/>
      <c r="B14" s="26"/>
      <c r="C14" s="26"/>
      <c r="D14" s="26"/>
      <c r="E14" s="26"/>
      <c r="F14" s="26"/>
      <c r="G14" s="26"/>
      <c r="H14" s="26"/>
      <c r="I14" s="26"/>
      <c r="J14" s="26"/>
      <c r="K14" s="26"/>
      <c r="L14" s="26"/>
      <c r="M14" s="26"/>
      <c r="N14" s="17"/>
      <c r="O14" s="26"/>
      <c r="P14" s="26"/>
      <c r="Q14" s="26"/>
      <c r="R14" s="26"/>
      <c r="S14" s="26"/>
      <c r="T14" s="26"/>
      <c r="U14" s="26"/>
      <c r="V14" s="26"/>
      <c r="W14" s="26"/>
      <c r="X14" s="26"/>
      <c r="Y14" s="26"/>
      <c r="Z14" s="26"/>
      <c r="AA14" s="17"/>
      <c r="AB14" s="26" t="s">
        <v>21</v>
      </c>
      <c r="AC14" s="26"/>
      <c r="AD14" s="26"/>
      <c r="AE14" s="26"/>
      <c r="AF14" s="26"/>
      <c r="AG14" s="26"/>
      <c r="AH14" s="26"/>
      <c r="AI14" s="26"/>
      <c r="AJ14" s="26"/>
      <c r="AK14" s="26"/>
      <c r="AL14" s="26"/>
      <c r="AM14" s="26"/>
      <c r="AN14" s="17"/>
      <c r="AO14" s="17"/>
      <c r="AP14" s="17"/>
      <c r="AQ14" s="17"/>
      <c r="AR14" s="17"/>
      <c r="AS14" s="17"/>
      <c r="AT14" s="17"/>
      <c r="AU14" s="17"/>
    </row>
    <row r="15" spans="1:47" ht="15" customHeight="1" x14ac:dyDescent="0.25">
      <c r="A15" s="17"/>
      <c r="B15" s="26"/>
      <c r="C15" s="26"/>
      <c r="D15" s="26"/>
      <c r="E15" s="26"/>
      <c r="F15" s="26"/>
      <c r="G15" s="26"/>
      <c r="H15" s="26"/>
      <c r="I15" s="26"/>
      <c r="J15" s="26"/>
      <c r="K15" s="26"/>
      <c r="L15" s="26"/>
      <c r="M15" s="26"/>
      <c r="N15" s="17"/>
      <c r="O15" s="26"/>
      <c r="P15" s="26"/>
      <c r="Q15" s="26"/>
      <c r="R15" s="26"/>
      <c r="S15" s="26"/>
      <c r="T15" s="26"/>
      <c r="U15" s="26"/>
      <c r="V15" s="26"/>
      <c r="W15" s="26"/>
      <c r="X15" s="26"/>
      <c r="Y15" s="26"/>
      <c r="Z15" s="26"/>
      <c r="AA15" s="17"/>
      <c r="AB15" s="26"/>
      <c r="AC15" s="26"/>
      <c r="AD15" s="26"/>
      <c r="AE15" s="26"/>
      <c r="AF15" s="26"/>
      <c r="AG15" s="26"/>
      <c r="AH15" s="26"/>
      <c r="AI15" s="26"/>
      <c r="AJ15" s="26"/>
      <c r="AK15" s="26"/>
      <c r="AL15" s="26"/>
      <c r="AM15" s="26"/>
      <c r="AN15" s="17"/>
      <c r="AO15" s="17"/>
      <c r="AP15" s="17"/>
      <c r="AQ15" s="17"/>
      <c r="AR15" s="17"/>
      <c r="AS15" s="17"/>
      <c r="AT15" s="17"/>
      <c r="AU15" s="17"/>
    </row>
    <row r="16" spans="1:47" ht="15" customHeight="1" x14ac:dyDescent="0.25">
      <c r="A16" s="17"/>
      <c r="B16" s="26"/>
      <c r="C16" s="26"/>
      <c r="D16" s="26"/>
      <c r="E16" s="26"/>
      <c r="F16" s="26"/>
      <c r="G16" s="26"/>
      <c r="H16" s="26"/>
      <c r="I16" s="26"/>
      <c r="J16" s="26"/>
      <c r="K16" s="26"/>
      <c r="L16" s="26"/>
      <c r="M16" s="26"/>
      <c r="N16" s="17"/>
      <c r="O16" s="26"/>
      <c r="P16" s="26"/>
      <c r="Q16" s="26"/>
      <c r="R16" s="26"/>
      <c r="S16" s="26"/>
      <c r="T16" s="26"/>
      <c r="U16" s="26"/>
      <c r="V16" s="26"/>
      <c r="W16" s="26"/>
      <c r="X16" s="26"/>
      <c r="Y16" s="26"/>
      <c r="Z16" s="26"/>
      <c r="AA16" s="17"/>
      <c r="AB16" s="26"/>
      <c r="AC16" s="26"/>
      <c r="AD16" s="26"/>
      <c r="AE16" s="26"/>
      <c r="AF16" s="26"/>
      <c r="AG16" s="26"/>
      <c r="AH16" s="26"/>
      <c r="AI16" s="26"/>
      <c r="AJ16" s="26"/>
      <c r="AK16" s="26"/>
      <c r="AL16" s="26"/>
      <c r="AM16" s="26"/>
      <c r="AN16" s="17"/>
      <c r="AO16" s="17"/>
      <c r="AP16" s="17"/>
      <c r="AQ16" s="17"/>
      <c r="AR16" s="17"/>
      <c r="AS16" s="17"/>
      <c r="AT16" s="17"/>
      <c r="AU16" s="17"/>
    </row>
    <row r="17" spans="1:47" ht="15" customHeight="1" x14ac:dyDescent="0.25">
      <c r="A17" s="17"/>
      <c r="B17" s="26"/>
      <c r="C17" s="26"/>
      <c r="D17" s="26"/>
      <c r="E17" s="26"/>
      <c r="F17" s="26"/>
      <c r="G17" s="26"/>
      <c r="H17" s="26"/>
      <c r="I17" s="26"/>
      <c r="J17" s="26"/>
      <c r="K17" s="26"/>
      <c r="L17" s="26"/>
      <c r="M17" s="26"/>
      <c r="N17" s="17"/>
      <c r="O17" s="26" t="s">
        <v>19</v>
      </c>
      <c r="P17" s="26"/>
      <c r="Q17" s="26"/>
      <c r="R17" s="26"/>
      <c r="S17" s="26"/>
      <c r="T17" s="26"/>
      <c r="U17" s="26"/>
      <c r="V17" s="26"/>
      <c r="W17" s="26"/>
      <c r="X17" s="26"/>
      <c r="Y17" s="26"/>
      <c r="Z17" s="26"/>
      <c r="AA17" s="17"/>
      <c r="AB17" s="26"/>
      <c r="AC17" s="26"/>
      <c r="AD17" s="26"/>
      <c r="AE17" s="26"/>
      <c r="AF17" s="26"/>
      <c r="AG17" s="26"/>
      <c r="AH17" s="26"/>
      <c r="AI17" s="26"/>
      <c r="AJ17" s="26"/>
      <c r="AK17" s="26"/>
      <c r="AL17" s="26"/>
      <c r="AM17" s="26"/>
      <c r="AN17" s="17"/>
      <c r="AO17" s="17"/>
      <c r="AP17" s="17"/>
      <c r="AQ17" s="17"/>
      <c r="AR17" s="17"/>
      <c r="AS17" s="17"/>
      <c r="AT17" s="17"/>
      <c r="AU17" s="17"/>
    </row>
    <row r="18" spans="1:47" ht="15" customHeight="1" x14ac:dyDescent="0.25">
      <c r="A18" s="17"/>
      <c r="B18" s="26"/>
      <c r="C18" s="26"/>
      <c r="D18" s="26"/>
      <c r="E18" s="26"/>
      <c r="F18" s="26"/>
      <c r="G18" s="26"/>
      <c r="H18" s="26"/>
      <c r="I18" s="26"/>
      <c r="J18" s="26"/>
      <c r="K18" s="26"/>
      <c r="L18" s="26"/>
      <c r="M18" s="26"/>
      <c r="N18" s="17"/>
      <c r="O18" s="26"/>
      <c r="P18" s="26"/>
      <c r="Q18" s="26"/>
      <c r="R18" s="26"/>
      <c r="S18" s="26"/>
      <c r="T18" s="26"/>
      <c r="U18" s="26"/>
      <c r="V18" s="26"/>
      <c r="W18" s="26"/>
      <c r="X18" s="26"/>
      <c r="Y18" s="26"/>
      <c r="Z18" s="26"/>
      <c r="AA18" s="17"/>
      <c r="AB18" s="26"/>
      <c r="AC18" s="26"/>
      <c r="AD18" s="26"/>
      <c r="AE18" s="26"/>
      <c r="AF18" s="26"/>
      <c r="AG18" s="26"/>
      <c r="AH18" s="26"/>
      <c r="AI18" s="26"/>
      <c r="AJ18" s="26"/>
      <c r="AK18" s="26"/>
      <c r="AL18" s="26"/>
      <c r="AM18" s="26"/>
      <c r="AN18" s="17"/>
      <c r="AO18" s="17"/>
      <c r="AP18" s="17"/>
      <c r="AQ18" s="17"/>
      <c r="AR18" s="17"/>
      <c r="AS18" s="17"/>
      <c r="AT18" s="17"/>
      <c r="AU18" s="17"/>
    </row>
    <row r="19" spans="1:47" ht="15" customHeight="1" x14ac:dyDescent="0.25">
      <c r="A19" s="17"/>
      <c r="B19" s="16"/>
      <c r="C19" s="16"/>
      <c r="D19" s="16"/>
      <c r="E19" s="16"/>
      <c r="F19" s="16"/>
      <c r="G19" s="16"/>
      <c r="H19" s="16"/>
      <c r="I19" s="16"/>
      <c r="J19" s="16"/>
      <c r="K19" s="16"/>
      <c r="L19" s="16"/>
      <c r="M19" s="16"/>
      <c r="N19" s="17"/>
      <c r="O19" s="26"/>
      <c r="P19" s="26"/>
      <c r="Q19" s="26"/>
      <c r="R19" s="26"/>
      <c r="S19" s="26"/>
      <c r="T19" s="26"/>
      <c r="U19" s="26"/>
      <c r="V19" s="26"/>
      <c r="W19" s="26"/>
      <c r="X19" s="26"/>
      <c r="Y19" s="26"/>
      <c r="Z19" s="26"/>
      <c r="AA19" s="17"/>
      <c r="AB19" s="26"/>
      <c r="AC19" s="26"/>
      <c r="AD19" s="26"/>
      <c r="AE19" s="26"/>
      <c r="AF19" s="26"/>
      <c r="AG19" s="26"/>
      <c r="AH19" s="26"/>
      <c r="AI19" s="26"/>
      <c r="AJ19" s="26"/>
      <c r="AK19" s="26"/>
      <c r="AL19" s="26"/>
      <c r="AM19" s="26"/>
      <c r="AN19" s="17"/>
      <c r="AO19" s="17"/>
      <c r="AP19" s="17"/>
      <c r="AQ19" s="17"/>
      <c r="AR19" s="17"/>
      <c r="AS19" s="17"/>
      <c r="AT19" s="17"/>
      <c r="AU19" s="17"/>
    </row>
    <row r="20" spans="1:47" ht="15" customHeight="1" x14ac:dyDescent="0.25">
      <c r="A20" s="17"/>
      <c r="B20" s="16"/>
      <c r="C20" s="16"/>
      <c r="D20" s="16"/>
      <c r="E20" s="16"/>
      <c r="F20" s="16"/>
      <c r="G20" s="16"/>
      <c r="H20" s="16"/>
      <c r="I20" s="16"/>
      <c r="J20" s="16"/>
      <c r="K20" s="16"/>
      <c r="L20" s="16"/>
      <c r="M20" s="16"/>
      <c r="N20" s="17"/>
      <c r="O20" s="26"/>
      <c r="P20" s="26"/>
      <c r="Q20" s="26"/>
      <c r="R20" s="26"/>
      <c r="S20" s="26"/>
      <c r="T20" s="26"/>
      <c r="U20" s="26"/>
      <c r="V20" s="26"/>
      <c r="W20" s="26"/>
      <c r="X20" s="26"/>
      <c r="Y20" s="26"/>
      <c r="Z20" s="26"/>
      <c r="AA20" s="17"/>
      <c r="AB20" s="26"/>
      <c r="AC20" s="26"/>
      <c r="AD20" s="26"/>
      <c r="AE20" s="26"/>
      <c r="AF20" s="26"/>
      <c r="AG20" s="26"/>
      <c r="AH20" s="26"/>
      <c r="AI20" s="26"/>
      <c r="AJ20" s="26"/>
      <c r="AK20" s="26"/>
      <c r="AL20" s="26"/>
      <c r="AM20" s="26"/>
      <c r="AN20" s="17"/>
      <c r="AO20" s="17"/>
      <c r="AP20" s="17"/>
      <c r="AQ20" s="17"/>
      <c r="AR20" s="17"/>
      <c r="AS20" s="17"/>
      <c r="AT20" s="17"/>
      <c r="AU20" s="17"/>
    </row>
    <row r="21" spans="1:47" ht="15" customHeight="1" x14ac:dyDescent="0.25">
      <c r="A21" s="17"/>
      <c r="B21" s="16"/>
      <c r="C21" s="16"/>
      <c r="D21" s="16"/>
      <c r="E21" s="16"/>
      <c r="F21" s="16"/>
      <c r="G21" s="16"/>
      <c r="H21" s="16"/>
      <c r="I21" s="16"/>
      <c r="J21" s="16"/>
      <c r="K21" s="16"/>
      <c r="L21" s="16"/>
      <c r="M21" s="16"/>
      <c r="N21" s="17"/>
      <c r="O21" s="26"/>
      <c r="P21" s="26"/>
      <c r="Q21" s="26"/>
      <c r="R21" s="26"/>
      <c r="S21" s="26"/>
      <c r="T21" s="26"/>
      <c r="U21" s="26"/>
      <c r="V21" s="26"/>
      <c r="W21" s="26"/>
      <c r="X21" s="26"/>
      <c r="Y21" s="26"/>
      <c r="Z21" s="26"/>
      <c r="AA21" s="17"/>
      <c r="AB21" s="26"/>
      <c r="AC21" s="26"/>
      <c r="AD21" s="26"/>
      <c r="AE21" s="26"/>
      <c r="AF21" s="26"/>
      <c r="AG21" s="26"/>
      <c r="AH21" s="26"/>
      <c r="AI21" s="26"/>
      <c r="AJ21" s="26"/>
      <c r="AK21" s="26"/>
      <c r="AL21" s="26"/>
      <c r="AM21" s="26"/>
      <c r="AN21" s="17"/>
      <c r="AO21" s="17"/>
      <c r="AP21" s="17"/>
      <c r="AQ21" s="17"/>
      <c r="AR21" s="17"/>
      <c r="AS21" s="17"/>
      <c r="AT21" s="17"/>
      <c r="AU21" s="17"/>
    </row>
    <row r="22" spans="1:47" ht="15" customHeight="1" x14ac:dyDescent="0.25">
      <c r="A22" s="17"/>
      <c r="B22" s="16"/>
      <c r="C22" s="16"/>
      <c r="D22" s="16"/>
      <c r="E22" s="16"/>
      <c r="F22" s="16"/>
      <c r="G22" s="16"/>
      <c r="H22" s="16"/>
      <c r="I22" s="16"/>
      <c r="J22" s="16"/>
      <c r="K22" s="16"/>
      <c r="L22" s="16"/>
      <c r="M22" s="16"/>
      <c r="N22" s="17"/>
      <c r="O22" s="26"/>
      <c r="P22" s="26"/>
      <c r="Q22" s="26"/>
      <c r="R22" s="26"/>
      <c r="S22" s="26"/>
      <c r="T22" s="26"/>
      <c r="U22" s="26"/>
      <c r="V22" s="26"/>
      <c r="W22" s="26"/>
      <c r="X22" s="26"/>
      <c r="Y22" s="26"/>
      <c r="Z22" s="26"/>
      <c r="AA22" s="17"/>
      <c r="AB22" s="26"/>
      <c r="AC22" s="26"/>
      <c r="AD22" s="26"/>
      <c r="AE22" s="26"/>
      <c r="AF22" s="26"/>
      <c r="AG22" s="26"/>
      <c r="AH22" s="26"/>
      <c r="AI22" s="26"/>
      <c r="AJ22" s="26"/>
      <c r="AK22" s="26"/>
      <c r="AL22" s="26"/>
      <c r="AM22" s="26"/>
      <c r="AN22" s="17"/>
      <c r="AO22" s="17"/>
      <c r="AP22" s="17"/>
      <c r="AQ22" s="17"/>
      <c r="AR22" s="17"/>
      <c r="AS22" s="17"/>
      <c r="AT22" s="17"/>
      <c r="AU22" s="17"/>
    </row>
    <row r="23" spans="1:47" ht="15" customHeight="1" x14ac:dyDescent="0.25">
      <c r="A23" s="17"/>
      <c r="B23" s="16"/>
      <c r="C23" s="16"/>
      <c r="D23" s="16"/>
      <c r="E23" s="16"/>
      <c r="F23" s="16"/>
      <c r="G23" s="16"/>
      <c r="H23" s="16"/>
      <c r="I23" s="16"/>
      <c r="J23" s="16"/>
      <c r="K23" s="16"/>
      <c r="L23" s="16"/>
      <c r="M23" s="16"/>
      <c r="N23" s="17"/>
      <c r="O23" s="26"/>
      <c r="P23" s="26"/>
      <c r="Q23" s="26"/>
      <c r="R23" s="26"/>
      <c r="S23" s="26"/>
      <c r="T23" s="26"/>
      <c r="U23" s="26"/>
      <c r="V23" s="26"/>
      <c r="W23" s="26"/>
      <c r="X23" s="26"/>
      <c r="Y23" s="26"/>
      <c r="Z23" s="26"/>
      <c r="AA23" s="17"/>
      <c r="AB23" s="26"/>
      <c r="AC23" s="26"/>
      <c r="AD23" s="26"/>
      <c r="AE23" s="26"/>
      <c r="AF23" s="26"/>
      <c r="AG23" s="26"/>
      <c r="AH23" s="26"/>
      <c r="AI23" s="26"/>
      <c r="AJ23" s="26"/>
      <c r="AK23" s="26"/>
      <c r="AL23" s="26"/>
      <c r="AM23" s="26"/>
      <c r="AN23" s="17"/>
      <c r="AO23" s="17"/>
      <c r="AP23" s="17"/>
      <c r="AQ23" s="17"/>
      <c r="AR23" s="17"/>
      <c r="AS23" s="17"/>
      <c r="AT23" s="17"/>
      <c r="AU23" s="17"/>
    </row>
    <row r="24" spans="1:47" ht="15" customHeight="1" x14ac:dyDescent="0.25">
      <c r="A24" s="17"/>
      <c r="B24" s="16"/>
      <c r="C24" s="16"/>
      <c r="D24" s="16"/>
      <c r="E24" s="16"/>
      <c r="F24" s="16"/>
      <c r="G24" s="16"/>
      <c r="H24" s="16"/>
      <c r="I24" s="16"/>
      <c r="J24" s="16"/>
      <c r="K24" s="16"/>
      <c r="L24" s="16"/>
      <c r="M24" s="16"/>
      <c r="N24" s="17"/>
      <c r="O24" s="26"/>
      <c r="P24" s="26"/>
      <c r="Q24" s="26"/>
      <c r="R24" s="26"/>
      <c r="S24" s="26"/>
      <c r="T24" s="26"/>
      <c r="U24" s="26"/>
      <c r="V24" s="26"/>
      <c r="W24" s="26"/>
      <c r="X24" s="26"/>
      <c r="Y24" s="26"/>
      <c r="Z24" s="26"/>
      <c r="AA24" s="17"/>
      <c r="AB24" s="26"/>
      <c r="AC24" s="26"/>
      <c r="AD24" s="26"/>
      <c r="AE24" s="26"/>
      <c r="AF24" s="26"/>
      <c r="AG24" s="26"/>
      <c r="AH24" s="26"/>
      <c r="AI24" s="26"/>
      <c r="AJ24" s="26"/>
      <c r="AK24" s="26"/>
      <c r="AL24" s="26"/>
      <c r="AM24" s="26"/>
      <c r="AN24" s="17"/>
      <c r="AO24" s="17"/>
      <c r="AP24" s="17"/>
      <c r="AQ24" s="17"/>
      <c r="AR24" s="17"/>
      <c r="AS24" s="17"/>
      <c r="AT24" s="17"/>
      <c r="AU24" s="17"/>
    </row>
    <row r="25" spans="1:47" ht="15" customHeight="1" x14ac:dyDescent="0.25">
      <c r="A25" s="17"/>
      <c r="B25" s="16"/>
      <c r="C25" s="16"/>
      <c r="D25" s="16"/>
      <c r="E25" s="16"/>
      <c r="F25" s="16"/>
      <c r="G25" s="16"/>
      <c r="H25" s="16"/>
      <c r="I25" s="16"/>
      <c r="J25" s="16"/>
      <c r="K25" s="16"/>
      <c r="L25" s="16"/>
      <c r="M25" s="16"/>
      <c r="N25" s="17"/>
      <c r="O25" s="26"/>
      <c r="P25" s="26"/>
      <c r="Q25" s="26"/>
      <c r="R25" s="26"/>
      <c r="S25" s="26"/>
      <c r="T25" s="26"/>
      <c r="U25" s="26"/>
      <c r="V25" s="26"/>
      <c r="W25" s="26"/>
      <c r="X25" s="26"/>
      <c r="Y25" s="26"/>
      <c r="Z25" s="26"/>
      <c r="AA25" s="17"/>
      <c r="AB25" s="26"/>
      <c r="AC25" s="26"/>
      <c r="AD25" s="26"/>
      <c r="AE25" s="26"/>
      <c r="AF25" s="26"/>
      <c r="AG25" s="26"/>
      <c r="AH25" s="26"/>
      <c r="AI25" s="26"/>
      <c r="AJ25" s="26"/>
      <c r="AK25" s="26"/>
      <c r="AL25" s="26"/>
      <c r="AM25" s="26"/>
      <c r="AN25" s="17"/>
      <c r="AO25" s="17"/>
      <c r="AP25" s="17"/>
      <c r="AQ25" s="17"/>
      <c r="AR25" s="17"/>
      <c r="AS25" s="17"/>
      <c r="AT25" s="17"/>
      <c r="AU25" s="17"/>
    </row>
    <row r="26" spans="1:47" ht="15" customHeight="1" x14ac:dyDescent="0.25">
      <c r="A26" s="17"/>
      <c r="B26" s="16"/>
      <c r="C26" s="16"/>
      <c r="D26" s="16"/>
      <c r="E26" s="16"/>
      <c r="F26" s="16"/>
      <c r="G26" s="16"/>
      <c r="H26" s="16"/>
      <c r="I26" s="16"/>
      <c r="J26" s="16"/>
      <c r="K26" s="16"/>
      <c r="L26" s="16"/>
      <c r="M26" s="16"/>
      <c r="N26" s="17"/>
      <c r="O26" s="26"/>
      <c r="P26" s="26"/>
      <c r="Q26" s="26"/>
      <c r="R26" s="26"/>
      <c r="S26" s="26"/>
      <c r="T26" s="26"/>
      <c r="U26" s="26"/>
      <c r="V26" s="26"/>
      <c r="W26" s="26"/>
      <c r="X26" s="26"/>
      <c r="Y26" s="26"/>
      <c r="Z26" s="26"/>
      <c r="AA26" s="17"/>
      <c r="AB26" s="26"/>
      <c r="AC26" s="26"/>
      <c r="AD26" s="26"/>
      <c r="AE26" s="26"/>
      <c r="AF26" s="26"/>
      <c r="AG26" s="26"/>
      <c r="AH26" s="26"/>
      <c r="AI26" s="26"/>
      <c r="AJ26" s="26"/>
      <c r="AK26" s="26"/>
      <c r="AL26" s="26"/>
      <c r="AM26" s="26"/>
      <c r="AN26" s="17"/>
      <c r="AO26" s="17"/>
      <c r="AP26" s="17"/>
      <c r="AQ26" s="17"/>
      <c r="AR26" s="17"/>
      <c r="AS26" s="17"/>
      <c r="AT26" s="17"/>
      <c r="AU26" s="17"/>
    </row>
    <row r="27" spans="1:47" ht="15" customHeight="1" x14ac:dyDescent="0.25">
      <c r="A27" s="17"/>
      <c r="B27" s="16"/>
      <c r="C27" s="16"/>
      <c r="D27" s="16"/>
      <c r="E27" s="16"/>
      <c r="F27" s="16"/>
      <c r="G27" s="16"/>
      <c r="H27" s="16"/>
      <c r="I27" s="16"/>
      <c r="J27" s="16"/>
      <c r="K27" s="16"/>
      <c r="L27" s="16"/>
      <c r="M27" s="16"/>
      <c r="N27" s="17"/>
      <c r="O27" s="26"/>
      <c r="P27" s="26"/>
      <c r="Q27" s="26"/>
      <c r="R27" s="26"/>
      <c r="S27" s="26"/>
      <c r="T27" s="26"/>
      <c r="U27" s="26"/>
      <c r="V27" s="26"/>
      <c r="W27" s="26"/>
      <c r="X27" s="26"/>
      <c r="Y27" s="26"/>
      <c r="Z27" s="26"/>
      <c r="AA27" s="17"/>
      <c r="AB27" s="26"/>
      <c r="AC27" s="26"/>
      <c r="AD27" s="26"/>
      <c r="AE27" s="26"/>
      <c r="AF27" s="26"/>
      <c r="AG27" s="26"/>
      <c r="AH27" s="26"/>
      <c r="AI27" s="26"/>
      <c r="AJ27" s="26"/>
      <c r="AK27" s="26"/>
      <c r="AL27" s="26"/>
      <c r="AM27" s="26"/>
      <c r="AN27" s="17"/>
      <c r="AO27" s="17"/>
      <c r="AP27" s="17"/>
      <c r="AQ27" s="17"/>
      <c r="AR27" s="17"/>
      <c r="AS27" s="17"/>
      <c r="AT27" s="17"/>
      <c r="AU27" s="17"/>
    </row>
    <row r="28" spans="1:47" ht="15" customHeight="1" x14ac:dyDescent="0.25">
      <c r="A28" s="17"/>
      <c r="B28" s="16"/>
      <c r="C28" s="16"/>
      <c r="D28" s="16"/>
      <c r="E28" s="16"/>
      <c r="F28" s="16"/>
      <c r="G28" s="16"/>
      <c r="H28" s="16"/>
      <c r="I28" s="16"/>
      <c r="J28" s="16"/>
      <c r="K28" s="16"/>
      <c r="L28" s="16"/>
      <c r="M28" s="16"/>
      <c r="N28" s="17"/>
      <c r="O28" s="26"/>
      <c r="P28" s="26"/>
      <c r="Q28" s="26"/>
      <c r="R28" s="26"/>
      <c r="S28" s="26"/>
      <c r="T28" s="26"/>
      <c r="U28" s="26"/>
      <c r="V28" s="26"/>
      <c r="W28" s="26"/>
      <c r="X28" s="26"/>
      <c r="Y28" s="26"/>
      <c r="Z28" s="26"/>
      <c r="AA28" s="17"/>
      <c r="AB28" s="26"/>
      <c r="AC28" s="26"/>
      <c r="AD28" s="26"/>
      <c r="AE28" s="26"/>
      <c r="AF28" s="26"/>
      <c r="AG28" s="26"/>
      <c r="AH28" s="26"/>
      <c r="AI28" s="26"/>
      <c r="AJ28" s="26"/>
      <c r="AK28" s="26"/>
      <c r="AL28" s="26"/>
      <c r="AM28" s="26"/>
      <c r="AN28" s="17"/>
      <c r="AO28" s="17"/>
      <c r="AP28" s="17"/>
      <c r="AQ28" s="17"/>
      <c r="AR28" s="17"/>
      <c r="AS28" s="17"/>
      <c r="AT28" s="17"/>
      <c r="AU28" s="17"/>
    </row>
    <row r="29" spans="1:47" ht="15" customHeight="1" x14ac:dyDescent="0.25">
      <c r="A29" s="17"/>
      <c r="B29" s="16"/>
      <c r="C29" s="16"/>
      <c r="D29" s="16"/>
      <c r="E29" s="16"/>
      <c r="F29" s="16"/>
      <c r="G29" s="16"/>
      <c r="H29" s="16"/>
      <c r="I29" s="16"/>
      <c r="J29" s="16"/>
      <c r="K29" s="16"/>
      <c r="L29" s="16"/>
      <c r="M29" s="16"/>
      <c r="N29" s="17"/>
      <c r="O29" s="26"/>
      <c r="P29" s="26"/>
      <c r="Q29" s="26"/>
      <c r="R29" s="26"/>
      <c r="S29" s="26"/>
      <c r="T29" s="26"/>
      <c r="U29" s="26"/>
      <c r="V29" s="26"/>
      <c r="W29" s="26"/>
      <c r="X29" s="26"/>
      <c r="Y29" s="26"/>
      <c r="Z29" s="26"/>
      <c r="AA29" s="17"/>
      <c r="AB29" s="26"/>
      <c r="AC29" s="26"/>
      <c r="AD29" s="26"/>
      <c r="AE29" s="26"/>
      <c r="AF29" s="26"/>
      <c r="AG29" s="26"/>
      <c r="AH29" s="26"/>
      <c r="AI29" s="26"/>
      <c r="AJ29" s="26"/>
      <c r="AK29" s="26"/>
      <c r="AL29" s="26"/>
      <c r="AM29" s="26"/>
      <c r="AN29" s="17"/>
      <c r="AO29" s="17"/>
      <c r="AP29" s="17"/>
      <c r="AQ29" s="17"/>
      <c r="AR29" s="17"/>
      <c r="AS29" s="17"/>
      <c r="AT29" s="17"/>
      <c r="AU29" s="17"/>
    </row>
    <row r="30" spans="1:47" x14ac:dyDescent="0.25">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row>
    <row r="31" spans="1:47" x14ac:dyDescent="0.25">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row>
    <row r="32" spans="1:47" x14ac:dyDescent="0.25">
      <c r="A32" s="17"/>
      <c r="B32" s="17"/>
      <c r="C32" s="17"/>
      <c r="D32" s="17"/>
      <c r="E32" s="17"/>
      <c r="F32" s="17"/>
      <c r="G32" s="17"/>
      <c r="H32" s="17"/>
      <c r="I32" s="17"/>
      <c r="J32" s="17"/>
      <c r="K32" s="17"/>
      <c r="L32" s="17"/>
      <c r="M32" s="17"/>
      <c r="N32" s="17"/>
      <c r="O32" s="26" t="s">
        <v>22</v>
      </c>
      <c r="P32" s="26"/>
      <c r="Q32" s="26"/>
      <c r="R32" s="26"/>
      <c r="S32" s="26"/>
      <c r="T32" s="26"/>
      <c r="U32" s="26"/>
      <c r="V32" s="26"/>
      <c r="W32" s="26"/>
      <c r="X32" s="26"/>
      <c r="Y32" s="26"/>
      <c r="Z32" s="26"/>
      <c r="AA32" s="17"/>
      <c r="AB32" s="17"/>
      <c r="AC32" s="17"/>
      <c r="AD32" s="17"/>
      <c r="AE32" s="17"/>
      <c r="AF32" s="17"/>
      <c r="AG32" s="17"/>
      <c r="AH32" s="17"/>
      <c r="AI32" s="17"/>
      <c r="AJ32" s="17"/>
      <c r="AK32" s="17"/>
      <c r="AL32" s="17"/>
      <c r="AM32" s="17"/>
      <c r="AN32" s="17"/>
      <c r="AO32" s="17"/>
      <c r="AP32" s="17"/>
      <c r="AQ32" s="17"/>
      <c r="AR32" s="17"/>
      <c r="AS32" s="17"/>
      <c r="AT32" s="17"/>
      <c r="AU32" s="17"/>
    </row>
    <row r="33" spans="1:47" x14ac:dyDescent="0.25">
      <c r="A33" s="17"/>
      <c r="B33" s="17"/>
      <c r="C33" s="17"/>
      <c r="D33" s="17"/>
      <c r="E33" s="17"/>
      <c r="F33" s="17"/>
      <c r="G33" s="17"/>
      <c r="H33" s="17"/>
      <c r="I33" s="17"/>
      <c r="J33" s="17"/>
      <c r="K33" s="17"/>
      <c r="L33" s="17"/>
      <c r="M33" s="17"/>
      <c r="N33" s="17"/>
      <c r="O33" s="26"/>
      <c r="P33" s="26"/>
      <c r="Q33" s="26"/>
      <c r="R33" s="26"/>
      <c r="S33" s="26"/>
      <c r="T33" s="26"/>
      <c r="U33" s="26"/>
      <c r="V33" s="26"/>
      <c r="W33" s="26"/>
      <c r="X33" s="26"/>
      <c r="Y33" s="26"/>
      <c r="Z33" s="26"/>
      <c r="AA33" s="17"/>
      <c r="AB33" s="17"/>
      <c r="AC33" s="17"/>
      <c r="AD33" s="17"/>
      <c r="AE33" s="17"/>
      <c r="AF33" s="17"/>
      <c r="AG33" s="17"/>
      <c r="AH33" s="17"/>
      <c r="AI33" s="17"/>
      <c r="AJ33" s="17"/>
      <c r="AK33" s="17"/>
      <c r="AL33" s="17"/>
      <c r="AM33" s="17"/>
      <c r="AN33" s="17"/>
      <c r="AO33" s="17"/>
      <c r="AP33" s="17"/>
      <c r="AQ33" s="17"/>
      <c r="AR33" s="17"/>
      <c r="AS33" s="17"/>
      <c r="AT33" s="17"/>
      <c r="AU33" s="17"/>
    </row>
    <row r="34" spans="1:47" x14ac:dyDescent="0.25">
      <c r="A34" s="17"/>
      <c r="B34" s="17"/>
      <c r="C34" s="17"/>
      <c r="D34" s="17"/>
      <c r="E34" s="17"/>
      <c r="F34" s="17"/>
      <c r="G34" s="17"/>
      <c r="H34" s="17"/>
      <c r="I34" s="17"/>
      <c r="J34" s="17"/>
      <c r="K34" s="17"/>
      <c r="L34" s="17"/>
      <c r="M34" s="17"/>
      <c r="N34" s="17"/>
      <c r="O34" s="26"/>
      <c r="P34" s="26"/>
      <c r="Q34" s="26"/>
      <c r="R34" s="26"/>
      <c r="S34" s="26"/>
      <c r="T34" s="26"/>
      <c r="U34" s="26"/>
      <c r="V34" s="26"/>
      <c r="W34" s="26"/>
      <c r="X34" s="26"/>
      <c r="Y34" s="26"/>
      <c r="Z34" s="26"/>
      <c r="AA34" s="17"/>
      <c r="AB34" s="17"/>
      <c r="AC34" s="17"/>
      <c r="AD34" s="17"/>
      <c r="AE34" s="17"/>
      <c r="AF34" s="17"/>
      <c r="AG34" s="17"/>
      <c r="AH34" s="17"/>
      <c r="AI34" s="17"/>
      <c r="AJ34" s="17"/>
      <c r="AK34" s="17"/>
      <c r="AL34" s="17"/>
      <c r="AM34" s="17"/>
      <c r="AN34" s="17"/>
      <c r="AO34" s="17"/>
      <c r="AP34" s="17"/>
      <c r="AQ34" s="17"/>
      <c r="AR34" s="17"/>
      <c r="AS34" s="17"/>
      <c r="AT34" s="17"/>
      <c r="AU34" s="17"/>
    </row>
    <row r="35" spans="1:47" x14ac:dyDescent="0.25">
      <c r="A35" s="17"/>
      <c r="B35" s="17"/>
      <c r="C35" s="17"/>
      <c r="D35" s="17"/>
      <c r="E35" s="17"/>
      <c r="F35" s="17"/>
      <c r="G35" s="17"/>
      <c r="H35" s="17"/>
      <c r="I35" s="17"/>
      <c r="J35" s="17"/>
      <c r="K35" s="17"/>
      <c r="L35" s="17"/>
      <c r="M35" s="17"/>
      <c r="N35" s="17"/>
      <c r="O35" s="26"/>
      <c r="P35" s="26"/>
      <c r="Q35" s="26"/>
      <c r="R35" s="26"/>
      <c r="S35" s="26"/>
      <c r="T35" s="26"/>
      <c r="U35" s="26"/>
      <c r="V35" s="26"/>
      <c r="W35" s="26"/>
      <c r="X35" s="26"/>
      <c r="Y35" s="26"/>
      <c r="Z35" s="26"/>
      <c r="AA35" s="17"/>
      <c r="AB35" s="17"/>
      <c r="AC35" s="17"/>
      <c r="AD35" s="17"/>
      <c r="AE35" s="17"/>
      <c r="AF35" s="17"/>
      <c r="AG35" s="17"/>
      <c r="AH35" s="17"/>
      <c r="AI35" s="17"/>
      <c r="AJ35" s="17"/>
      <c r="AK35" s="17"/>
      <c r="AL35" s="17"/>
      <c r="AM35" s="17"/>
      <c r="AN35" s="17"/>
      <c r="AO35" s="17"/>
      <c r="AP35" s="17"/>
      <c r="AQ35" s="17"/>
      <c r="AR35" s="17"/>
      <c r="AS35" s="17"/>
      <c r="AT35" s="17"/>
      <c r="AU35" s="17"/>
    </row>
    <row r="36" spans="1:47" x14ac:dyDescent="0.25">
      <c r="A36" s="17"/>
      <c r="B36" s="17"/>
      <c r="C36" s="17"/>
      <c r="D36" s="17"/>
      <c r="E36" s="17"/>
      <c r="F36" s="17"/>
      <c r="G36" s="17"/>
      <c r="H36" s="17"/>
      <c r="I36" s="17"/>
      <c r="J36" s="17"/>
      <c r="K36" s="17"/>
      <c r="L36" s="17"/>
      <c r="M36" s="17"/>
      <c r="N36" s="17"/>
      <c r="O36" s="26"/>
      <c r="P36" s="26"/>
      <c r="Q36" s="26"/>
      <c r="R36" s="26"/>
      <c r="S36" s="26"/>
      <c r="T36" s="26"/>
      <c r="U36" s="26"/>
      <c r="V36" s="26"/>
      <c r="W36" s="26"/>
      <c r="X36" s="26"/>
      <c r="Y36" s="26"/>
      <c r="Z36" s="26"/>
      <c r="AA36" s="17"/>
      <c r="AB36" s="17"/>
      <c r="AC36" s="17"/>
      <c r="AD36" s="17"/>
      <c r="AE36" s="17"/>
      <c r="AF36" s="17"/>
      <c r="AG36" s="17"/>
      <c r="AH36" s="17"/>
      <c r="AI36" s="17"/>
      <c r="AJ36" s="17"/>
      <c r="AK36" s="17"/>
      <c r="AL36" s="17"/>
      <c r="AM36" s="17"/>
      <c r="AN36" s="17"/>
      <c r="AO36" s="17"/>
      <c r="AP36" s="17"/>
      <c r="AQ36" s="17"/>
      <c r="AR36" s="17"/>
      <c r="AS36" s="17"/>
      <c r="AT36" s="17"/>
      <c r="AU36" s="17"/>
    </row>
    <row r="37" spans="1:47" x14ac:dyDescent="0.25">
      <c r="A37" s="17"/>
      <c r="B37" s="17"/>
      <c r="C37" s="17"/>
      <c r="D37" s="17"/>
      <c r="E37" s="17"/>
      <c r="F37" s="17"/>
      <c r="G37" s="17"/>
      <c r="H37" s="17"/>
      <c r="I37" s="17"/>
      <c r="J37" s="17"/>
      <c r="K37" s="17"/>
      <c r="L37" s="17"/>
      <c r="M37" s="17"/>
      <c r="N37" s="17"/>
      <c r="O37" s="26"/>
      <c r="P37" s="26"/>
      <c r="Q37" s="26"/>
      <c r="R37" s="26"/>
      <c r="S37" s="26"/>
      <c r="T37" s="26"/>
      <c r="U37" s="26"/>
      <c r="V37" s="26"/>
      <c r="W37" s="26"/>
      <c r="X37" s="26"/>
      <c r="Y37" s="26"/>
      <c r="Z37" s="26"/>
      <c r="AA37" s="17"/>
      <c r="AB37" s="17"/>
      <c r="AC37" s="17"/>
      <c r="AD37" s="17"/>
      <c r="AE37" s="17"/>
      <c r="AF37" s="17"/>
      <c r="AG37" s="17"/>
      <c r="AH37" s="17"/>
      <c r="AI37" s="17"/>
      <c r="AJ37" s="17"/>
      <c r="AK37" s="17"/>
      <c r="AL37" s="17"/>
      <c r="AM37" s="17"/>
      <c r="AN37" s="17"/>
      <c r="AO37" s="17"/>
      <c r="AP37" s="17"/>
      <c r="AQ37" s="17"/>
      <c r="AR37" s="17"/>
      <c r="AS37" s="17"/>
      <c r="AT37" s="17"/>
      <c r="AU37" s="17"/>
    </row>
    <row r="38" spans="1:47" x14ac:dyDescent="0.25">
      <c r="A38" s="17"/>
      <c r="B38" s="17"/>
      <c r="C38" s="17"/>
      <c r="D38" s="17"/>
      <c r="E38" s="17"/>
      <c r="F38" s="17"/>
      <c r="G38" s="17"/>
      <c r="H38" s="17"/>
      <c r="I38" s="17"/>
      <c r="J38" s="17"/>
      <c r="K38" s="17"/>
      <c r="L38" s="17"/>
      <c r="M38" s="17"/>
      <c r="N38" s="17"/>
      <c r="O38" s="26"/>
      <c r="P38" s="26"/>
      <c r="Q38" s="26"/>
      <c r="R38" s="26"/>
      <c r="S38" s="26"/>
      <c r="T38" s="26"/>
      <c r="U38" s="26"/>
      <c r="V38" s="26"/>
      <c r="W38" s="26"/>
      <c r="X38" s="26"/>
      <c r="Y38" s="26"/>
      <c r="Z38" s="26"/>
      <c r="AA38" s="17"/>
      <c r="AB38" s="17"/>
      <c r="AC38" s="17"/>
      <c r="AD38" s="17"/>
      <c r="AE38" s="17"/>
      <c r="AF38" s="17"/>
      <c r="AG38" s="17"/>
      <c r="AH38" s="17"/>
      <c r="AI38" s="17"/>
      <c r="AJ38" s="17"/>
      <c r="AK38" s="17"/>
      <c r="AL38" s="17"/>
      <c r="AM38" s="17"/>
      <c r="AN38" s="17"/>
      <c r="AO38" s="17"/>
      <c r="AP38" s="17"/>
      <c r="AQ38" s="17"/>
      <c r="AR38" s="17"/>
      <c r="AS38" s="17"/>
      <c r="AT38" s="17"/>
      <c r="AU38" s="17"/>
    </row>
    <row r="39" spans="1:47" x14ac:dyDescent="0.25">
      <c r="A39" s="17"/>
      <c r="B39" s="17"/>
      <c r="C39" s="17"/>
      <c r="D39" s="17"/>
      <c r="E39" s="17"/>
      <c r="F39" s="17"/>
      <c r="G39" s="17"/>
      <c r="H39" s="17"/>
      <c r="I39" s="17"/>
      <c r="J39" s="17"/>
      <c r="K39" s="17"/>
      <c r="L39" s="17"/>
      <c r="M39" s="17"/>
      <c r="N39" s="17"/>
      <c r="O39" s="26"/>
      <c r="P39" s="26"/>
      <c r="Q39" s="26"/>
      <c r="R39" s="26"/>
      <c r="S39" s="26"/>
      <c r="T39" s="26"/>
      <c r="U39" s="26"/>
      <c r="V39" s="26"/>
      <c r="W39" s="26"/>
      <c r="X39" s="26"/>
      <c r="Y39" s="26"/>
      <c r="Z39" s="26"/>
      <c r="AA39" s="17"/>
      <c r="AB39" s="17"/>
      <c r="AC39" s="17"/>
      <c r="AD39" s="17"/>
      <c r="AE39" s="17"/>
      <c r="AF39" s="17"/>
      <c r="AG39" s="17"/>
      <c r="AH39" s="17"/>
      <c r="AI39" s="17"/>
      <c r="AJ39" s="17"/>
      <c r="AK39" s="17"/>
      <c r="AL39" s="17"/>
      <c r="AM39" s="17"/>
      <c r="AN39" s="17"/>
      <c r="AO39" s="17"/>
      <c r="AP39" s="17"/>
      <c r="AQ39" s="17"/>
      <c r="AR39" s="17"/>
      <c r="AS39" s="17"/>
      <c r="AT39" s="17"/>
      <c r="AU39" s="17"/>
    </row>
    <row r="40" spans="1:47" x14ac:dyDescent="0.25">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row>
    <row r="41" spans="1:47" x14ac:dyDescent="0.25">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row>
    <row r="42" spans="1:47" x14ac:dyDescent="0.25">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row>
    <row r="43" spans="1:47" x14ac:dyDescent="0.25">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row>
    <row r="44" spans="1:47" x14ac:dyDescent="0.25">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row>
    <row r="45" spans="1:47" x14ac:dyDescent="0.25">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row>
    <row r="46" spans="1:47" x14ac:dyDescent="0.25">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row>
    <row r="47" spans="1:47" x14ac:dyDescent="0.25">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row>
    <row r="48" spans="1:47" x14ac:dyDescent="0.25">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row>
    <row r="49" spans="1:47" x14ac:dyDescent="0.25">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row>
    <row r="50" spans="1:47" x14ac:dyDescent="0.25">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row>
    <row r="51" spans="1:47" x14ac:dyDescent="0.25">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row>
    <row r="52" spans="1:47" x14ac:dyDescent="0.25">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row>
    <row r="53" spans="1:47" x14ac:dyDescent="0.25">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row>
    <row r="54" spans="1:47" x14ac:dyDescent="0.25">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row>
    <row r="55" spans="1:47" x14ac:dyDescent="0.25">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row>
    <row r="56" spans="1:47" x14ac:dyDescent="0.25">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row>
    <row r="57" spans="1:47" x14ac:dyDescent="0.25">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row>
    <row r="58" spans="1:47" x14ac:dyDescent="0.25">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row>
  </sheetData>
  <mergeCells count="7">
    <mergeCell ref="AB9:AM13"/>
    <mergeCell ref="AB14:AM29"/>
    <mergeCell ref="O32:Z39"/>
    <mergeCell ref="O1:Z6"/>
    <mergeCell ref="B9:M18"/>
    <mergeCell ref="O9:Z16"/>
    <mergeCell ref="O17:Z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L20"/>
  <sheetViews>
    <sheetView tabSelected="1" workbookViewId="0">
      <selection activeCell="N10" sqref="N10"/>
    </sheetView>
  </sheetViews>
  <sheetFormatPr defaultRowHeight="15" x14ac:dyDescent="0.25"/>
  <cols>
    <col min="1" max="1" width="9.140625" style="3"/>
    <col min="2" max="2" width="29.7109375" style="3" bestFit="1" customWidth="1"/>
    <col min="3" max="4" width="27.140625" style="3" bestFit="1" customWidth="1"/>
    <col min="5" max="5" width="9.140625" style="3"/>
    <col min="6" max="6" width="9.140625" style="3" customWidth="1"/>
    <col min="7" max="16384" width="9.140625" style="3"/>
  </cols>
  <sheetData>
    <row r="3" spans="2:12" ht="15" customHeight="1" x14ac:dyDescent="0.25">
      <c r="G3" s="28" t="s">
        <v>0</v>
      </c>
      <c r="H3" s="28"/>
      <c r="I3" s="28"/>
      <c r="J3" s="28"/>
      <c r="K3" s="28"/>
      <c r="L3" s="28"/>
    </row>
    <row r="4" spans="2:12" x14ac:dyDescent="0.25">
      <c r="G4" s="28"/>
      <c r="H4" s="28"/>
      <c r="I4" s="28"/>
      <c r="J4" s="28"/>
      <c r="K4" s="28"/>
      <c r="L4" s="28"/>
    </row>
    <row r="5" spans="2:12" x14ac:dyDescent="0.25">
      <c r="G5" s="28"/>
      <c r="H5" s="28"/>
      <c r="I5" s="28"/>
      <c r="J5" s="28"/>
      <c r="K5" s="28"/>
      <c r="L5" s="28"/>
    </row>
    <row r="6" spans="2:12" ht="15.75" thickBot="1" x14ac:dyDescent="0.3"/>
    <row r="7" spans="2:12" ht="15.75" thickBot="1" x14ac:dyDescent="0.3">
      <c r="B7" s="8" t="s">
        <v>1</v>
      </c>
    </row>
    <row r="8" spans="2:12" ht="15.75" thickBot="1" x14ac:dyDescent="0.3">
      <c r="B8" s="4">
        <f>MAX('Match data'!D:D)</f>
        <v>0</v>
      </c>
      <c r="C8" s="5" t="e">
        <f>LARGE('Match data'!D:D, 2)</f>
        <v>#NUM!</v>
      </c>
      <c r="D8" s="6" t="e">
        <f>LARGE('Match data'!D:D, 3)</f>
        <v>#NUM!</v>
      </c>
    </row>
    <row r="9" spans="2:12" ht="15.75" thickBot="1" x14ac:dyDescent="0.3"/>
    <row r="10" spans="2:12" ht="15.75" thickBot="1" x14ac:dyDescent="0.3">
      <c r="B10" s="8" t="s">
        <v>2</v>
      </c>
    </row>
    <row r="11" spans="2:12" ht="15.75" thickBot="1" x14ac:dyDescent="0.3">
      <c r="B11" s="4" t="str">
        <f>INDEX('Table Data'!A:A, MATCH(MAX('Table Data'!D:D), 'Table Data'!D:D, 0)) &amp; " (" &amp; MAX('Table Data'!D:D) &amp; " rp)"</f>
        <v>Bangalore (0 rp)</v>
      </c>
      <c r="C11" s="5" t="str">
        <f>INDEX('Table Data'!A:A, MATCH(LARGE('Table Data'!D:D, 2), 'Table Data'!D:D, 0)) &amp; " (" &amp; LARGE('Table Data'!D:D, 2) &amp; " rp)"</f>
        <v>Bangalore (0 rp)</v>
      </c>
      <c r="D11" s="7" t="str">
        <f>INDEX('Table Data'!A:A, MATCH(LARGE('Table Data'!D:D, 3), 'Table Data'!D:D, 0)) &amp; " (" &amp; LARGE('Table Data'!D:D, 3) &amp; " rp)"</f>
        <v>Bangalore (0 rp)</v>
      </c>
    </row>
    <row r="12" spans="2:12" ht="15.75" thickBot="1" x14ac:dyDescent="0.3"/>
    <row r="13" spans="2:12" ht="15.75" thickBot="1" x14ac:dyDescent="0.3">
      <c r="B13" s="8" t="s">
        <v>3</v>
      </c>
    </row>
    <row r="14" spans="2:12" ht="15.75" thickBot="1" x14ac:dyDescent="0.3">
      <c r="B14" s="4" t="e">
        <f>INDEX('Table Data'!A:A, MATCH(MAX('Table Data'!E:E), 'Table Data'!E:E, 0)) &amp; " (" &amp; MAX('Table Data'!E:E) &amp; " rp)"</f>
        <v>#DIV/0!</v>
      </c>
      <c r="C14" s="5" t="e">
        <f>INDEX('Table Data'!A:A, MATCH(LARGE('Table Data'!E:E, 2), 'Table Data'!E:E, 0)) &amp; " (" &amp; LARGE('Table Data'!E:E, 2) &amp; " rp)"</f>
        <v>#DIV/0!</v>
      </c>
      <c r="D14" s="7" t="e">
        <f>INDEX('Table Data'!A:A, MATCH(LARGE('Table Data'!E:E, 3), 'Table Data'!E:E, 0)) &amp; " (" &amp; LARGE('Table Data'!E:E, 3) &amp; " rp)"</f>
        <v>#DIV/0!</v>
      </c>
    </row>
    <row r="15" spans="2:12" ht="15.75" thickBot="1" x14ac:dyDescent="0.3"/>
    <row r="16" spans="2:12" ht="15.75" thickBot="1" x14ac:dyDescent="0.3">
      <c r="B16" s="8" t="s">
        <v>4</v>
      </c>
    </row>
    <row r="17" spans="2:4" ht="15.75" thickBot="1" x14ac:dyDescent="0.3">
      <c r="B17" s="4" t="str">
        <f>INDEX('Table Data'!A:A, MATCH(SMALL('Table Data'!F:F, 1), 'Table Data'!F:F, 0)) &amp; " (" &amp; SMALL('Table Data'!F:F, 1) &amp; " avg placement)"</f>
        <v>Bangalore (0 avg placement)</v>
      </c>
      <c r="C17" s="5" t="str">
        <f>INDEX('Table Data'!A:A, MATCH(SMALL('Table Data'!F:F, 2), 'Table Data'!F:F, 0)) &amp; " (" &amp; SMALL('Table Data'!F:F, 2) &amp; " avg placement)"</f>
        <v>Bangalore (0 avg placement)</v>
      </c>
      <c r="D17" s="7" t="str">
        <f>INDEX('Table Data'!A:A, MATCH(SMALL('Table Data'!F:F, 3), 'Table Data'!F:F, 0)) &amp; " (" &amp; SMALL('Table Data'!F:F, 3) &amp; " avg placement)"</f>
        <v>Bangalore (0 avg placement)</v>
      </c>
    </row>
    <row r="18" spans="2:4" ht="15.75" thickBot="1" x14ac:dyDescent="0.3"/>
    <row r="19" spans="2:4" x14ac:dyDescent="0.25">
      <c r="B19" s="10" t="s">
        <v>15</v>
      </c>
    </row>
    <row r="20" spans="2:4" ht="15.75" thickBot="1" x14ac:dyDescent="0.3">
      <c r="B20" s="9" t="str">
        <f>'Rank Data'!B28</f>
        <v>Rookie 4</v>
      </c>
    </row>
  </sheetData>
  <mergeCells count="1">
    <mergeCell ref="G3:L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G243"/>
  <sheetViews>
    <sheetView topLeftCell="A149" workbookViewId="0">
      <selection activeCell="F194" sqref="F194"/>
    </sheetView>
  </sheetViews>
  <sheetFormatPr defaultRowHeight="15" x14ac:dyDescent="0.25"/>
  <cols>
    <col min="1" max="1" width="11.140625" style="1" bestFit="1" customWidth="1"/>
    <col min="2" max="2" width="10.140625" style="1" bestFit="1" customWidth="1"/>
    <col min="3" max="3" width="10.28515625" style="1" bestFit="1" customWidth="1"/>
    <col min="4" max="4" width="9.140625" style="1"/>
    <col min="5" max="5" width="20.85546875" style="1" bestFit="1" customWidth="1"/>
    <col min="6" max="16384" width="9.140625" style="1"/>
  </cols>
  <sheetData>
    <row r="1" spans="1:46" ht="15.75" customHeight="1" thickBot="1" x14ac:dyDescent="0.3">
      <c r="A1" s="18" t="s">
        <v>5</v>
      </c>
      <c r="B1" s="19" t="s">
        <v>6</v>
      </c>
      <c r="C1" s="20" t="s">
        <v>7</v>
      </c>
      <c r="D1" s="20" t="s">
        <v>8</v>
      </c>
      <c r="E1" s="32" t="s">
        <v>50</v>
      </c>
      <c r="F1" s="18" t="s">
        <v>9</v>
      </c>
      <c r="G1" s="21"/>
      <c r="H1" s="29" t="s">
        <v>16</v>
      </c>
      <c r="I1" s="29"/>
      <c r="J1" s="29"/>
      <c r="K1" s="29"/>
      <c r="L1" s="29"/>
      <c r="M1" s="29"/>
      <c r="N1" s="29"/>
      <c r="O1" s="29"/>
      <c r="P1" s="29"/>
      <c r="Q1" s="29"/>
      <c r="R1" s="29"/>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row>
    <row r="2" spans="1:46" ht="15" customHeight="1" thickBot="1" x14ac:dyDescent="0.3">
      <c r="A2" s="22">
        <v>1</v>
      </c>
      <c r="B2" s="11"/>
      <c r="C2" s="12"/>
      <c r="D2" s="12"/>
      <c r="E2" s="33">
        <v>0</v>
      </c>
      <c r="F2" s="43" t="str">
        <f>VLOOKUP(E2, 'Rank Data'!$A$1:$B$25, 2, TRUE)</f>
        <v>Rookie 4</v>
      </c>
      <c r="G2" s="24"/>
      <c r="H2" s="29"/>
      <c r="I2" s="29"/>
      <c r="J2" s="29"/>
      <c r="K2" s="29"/>
      <c r="L2" s="29"/>
      <c r="M2" s="29"/>
      <c r="N2" s="29"/>
      <c r="O2" s="29"/>
      <c r="P2" s="29"/>
      <c r="Q2" s="29"/>
      <c r="R2" s="29"/>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row>
    <row r="3" spans="1:46" ht="15" customHeight="1" x14ac:dyDescent="0.25">
      <c r="A3" s="22">
        <v>2</v>
      </c>
      <c r="B3" s="13"/>
      <c r="C3" s="14"/>
      <c r="D3" s="15"/>
      <c r="E3" s="34">
        <f>SUM(E2, D2)</f>
        <v>0</v>
      </c>
      <c r="F3" s="44" t="str">
        <f>VLOOKUP(E3, 'Rank Data'!$A$1:$B$25, 2, TRUE)</f>
        <v>Rookie 4</v>
      </c>
      <c r="G3" s="24"/>
      <c r="H3" s="29"/>
      <c r="I3" s="29"/>
      <c r="J3" s="29"/>
      <c r="K3" s="29"/>
      <c r="L3" s="29"/>
      <c r="M3" s="29"/>
      <c r="N3" s="29"/>
      <c r="O3" s="29"/>
      <c r="P3" s="29"/>
      <c r="Q3" s="29"/>
      <c r="R3" s="29"/>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row>
    <row r="4" spans="1:46" x14ac:dyDescent="0.25">
      <c r="A4" s="22">
        <v>3</v>
      </c>
      <c r="B4" s="13"/>
      <c r="C4" s="14"/>
      <c r="D4" s="15"/>
      <c r="E4" s="35">
        <f>SUM(E3,D3)</f>
        <v>0</v>
      </c>
      <c r="F4" s="44" t="str">
        <f>VLOOKUP(E4, 'Rank Data'!$A$1:$B$25, 2, TRUE)</f>
        <v>Rookie 4</v>
      </c>
      <c r="G4" s="24"/>
      <c r="H4" s="30" t="s">
        <v>17</v>
      </c>
      <c r="I4" s="30"/>
      <c r="J4" s="30"/>
      <c r="K4" s="30"/>
      <c r="L4" s="30"/>
      <c r="M4" s="30"/>
      <c r="N4" s="30"/>
      <c r="O4" s="30"/>
      <c r="P4" s="30"/>
      <c r="Q4" s="30"/>
      <c r="R4" s="30"/>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row>
    <row r="5" spans="1:46" x14ac:dyDescent="0.25">
      <c r="A5" s="22">
        <v>4</v>
      </c>
      <c r="B5" s="13"/>
      <c r="C5" s="14"/>
      <c r="D5" s="15"/>
      <c r="E5" s="35">
        <f t="shared" ref="E5:E68" si="0">SUM(E4,D4)</f>
        <v>0</v>
      </c>
      <c r="F5" s="44" t="str">
        <f>VLOOKUP(E5, 'Rank Data'!$A$1:$B$25, 2, TRUE)</f>
        <v>Rookie 4</v>
      </c>
      <c r="G5" s="24"/>
      <c r="H5" s="30"/>
      <c r="I5" s="30"/>
      <c r="J5" s="30"/>
      <c r="K5" s="30"/>
      <c r="L5" s="30"/>
      <c r="M5" s="30"/>
      <c r="N5" s="30"/>
      <c r="O5" s="30"/>
      <c r="P5" s="30"/>
      <c r="Q5" s="30"/>
      <c r="R5" s="30"/>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row>
    <row r="6" spans="1:46" x14ac:dyDescent="0.25">
      <c r="A6" s="22">
        <v>5</v>
      </c>
      <c r="B6" s="13"/>
      <c r="C6" s="14"/>
      <c r="D6" s="15"/>
      <c r="E6" s="35">
        <f t="shared" si="0"/>
        <v>0</v>
      </c>
      <c r="F6" s="44" t="str">
        <f>VLOOKUP(E6, 'Rank Data'!$A$1:$B$25, 2, TRUE)</f>
        <v>Rookie 4</v>
      </c>
      <c r="G6" s="24"/>
      <c r="H6" s="24"/>
      <c r="I6" s="24"/>
      <c r="J6" s="24"/>
      <c r="K6" s="25"/>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row>
    <row r="7" spans="1:46" x14ac:dyDescent="0.25">
      <c r="A7" s="22">
        <v>6</v>
      </c>
      <c r="B7" s="13"/>
      <c r="C7" s="14"/>
      <c r="D7" s="15"/>
      <c r="E7" s="35">
        <f t="shared" si="0"/>
        <v>0</v>
      </c>
      <c r="F7" s="44" t="str">
        <f>VLOOKUP(E7, 'Rank Data'!$A$1:$B$25, 2, TRUE)</f>
        <v>Rookie 4</v>
      </c>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row>
    <row r="8" spans="1:46" x14ac:dyDescent="0.25">
      <c r="A8" s="22">
        <v>7</v>
      </c>
      <c r="B8" s="13"/>
      <c r="C8" s="14"/>
      <c r="D8" s="15"/>
      <c r="E8" s="35">
        <f t="shared" si="0"/>
        <v>0</v>
      </c>
      <c r="F8" s="44" t="str">
        <f>VLOOKUP(E8, 'Rank Data'!$A$1:$B$25, 2, TRUE)</f>
        <v>Rookie 4</v>
      </c>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row>
    <row r="9" spans="1:46" x14ac:dyDescent="0.25">
      <c r="A9" s="22">
        <v>8</v>
      </c>
      <c r="B9" s="13"/>
      <c r="C9" s="14"/>
      <c r="D9" s="15"/>
      <c r="E9" s="35">
        <f t="shared" si="0"/>
        <v>0</v>
      </c>
      <c r="F9" s="44" t="str">
        <f>VLOOKUP(E9, 'Rank Data'!$A$1:$B$25, 2, TRUE)</f>
        <v>Rookie 4</v>
      </c>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row>
    <row r="10" spans="1:46" x14ac:dyDescent="0.25">
      <c r="A10" s="22">
        <v>9</v>
      </c>
      <c r="B10" s="13"/>
      <c r="C10" s="14"/>
      <c r="D10" s="15"/>
      <c r="E10" s="35">
        <f t="shared" si="0"/>
        <v>0</v>
      </c>
      <c r="F10" s="44" t="str">
        <f>VLOOKUP(E10, 'Rank Data'!$A$1:$B$25, 2, TRUE)</f>
        <v>Rookie 4</v>
      </c>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row>
    <row r="11" spans="1:46" x14ac:dyDescent="0.25">
      <c r="A11" s="22">
        <v>10</v>
      </c>
      <c r="B11" s="13"/>
      <c r="C11" s="14"/>
      <c r="D11" s="15"/>
      <c r="E11" s="35">
        <f t="shared" si="0"/>
        <v>0</v>
      </c>
      <c r="F11" s="44" t="str">
        <f>VLOOKUP(E11, 'Rank Data'!$A$1:$B$25, 2, TRUE)</f>
        <v>Rookie 4</v>
      </c>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row>
    <row r="12" spans="1:46" x14ac:dyDescent="0.25">
      <c r="A12" s="22">
        <v>11</v>
      </c>
      <c r="B12" s="13"/>
      <c r="C12" s="14"/>
      <c r="D12" s="15"/>
      <c r="E12" s="35">
        <f t="shared" si="0"/>
        <v>0</v>
      </c>
      <c r="F12" s="44" t="str">
        <f>VLOOKUP(E12, 'Rank Data'!$A$1:$B$25, 2, TRUE)</f>
        <v>Rookie 4</v>
      </c>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row>
    <row r="13" spans="1:46" x14ac:dyDescent="0.25">
      <c r="A13" s="22">
        <v>12</v>
      </c>
      <c r="B13" s="13"/>
      <c r="C13" s="14"/>
      <c r="D13" s="15"/>
      <c r="E13" s="35">
        <f t="shared" si="0"/>
        <v>0</v>
      </c>
      <c r="F13" s="44" t="str">
        <f>VLOOKUP(E13, 'Rank Data'!$A$1:$B$25, 2, TRUE)</f>
        <v>Rookie 4</v>
      </c>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row>
    <row r="14" spans="1:46" x14ac:dyDescent="0.25">
      <c r="A14" s="22">
        <v>13</v>
      </c>
      <c r="B14" s="13"/>
      <c r="C14" s="14"/>
      <c r="D14" s="15"/>
      <c r="E14" s="35">
        <f t="shared" si="0"/>
        <v>0</v>
      </c>
      <c r="F14" s="44" t="str">
        <f>VLOOKUP(E14, 'Rank Data'!$A$1:$B$25, 2, TRUE)</f>
        <v>Rookie 4</v>
      </c>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row>
    <row r="15" spans="1:46" x14ac:dyDescent="0.25">
      <c r="A15" s="22">
        <v>14</v>
      </c>
      <c r="B15" s="13"/>
      <c r="C15" s="14"/>
      <c r="D15" s="15"/>
      <c r="E15" s="35">
        <f t="shared" si="0"/>
        <v>0</v>
      </c>
      <c r="F15" s="44" t="str">
        <f>VLOOKUP(E15, 'Rank Data'!$A$1:$B$25, 2, TRUE)</f>
        <v>Rookie 4</v>
      </c>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row>
    <row r="16" spans="1:46" x14ac:dyDescent="0.25">
      <c r="A16" s="22">
        <v>15</v>
      </c>
      <c r="B16" s="13"/>
      <c r="C16" s="14"/>
      <c r="D16" s="15"/>
      <c r="E16" s="35">
        <f t="shared" si="0"/>
        <v>0</v>
      </c>
      <c r="F16" s="44" t="str">
        <f>VLOOKUP(E16, 'Rank Data'!$A$1:$B$25, 2, TRUE)</f>
        <v>Rookie 4</v>
      </c>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row>
    <row r="17" spans="1:46" x14ac:dyDescent="0.25">
      <c r="A17" s="22">
        <v>16</v>
      </c>
      <c r="B17" s="13"/>
      <c r="C17" s="14"/>
      <c r="D17" s="15"/>
      <c r="E17" s="35">
        <f t="shared" si="0"/>
        <v>0</v>
      </c>
      <c r="F17" s="44" t="str">
        <f>VLOOKUP(E17, 'Rank Data'!$A$1:$B$25, 2, TRUE)</f>
        <v>Rookie 4</v>
      </c>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row>
    <row r="18" spans="1:46" x14ac:dyDescent="0.25">
      <c r="A18" s="22">
        <v>17</v>
      </c>
      <c r="B18" s="13"/>
      <c r="C18" s="14"/>
      <c r="D18" s="15"/>
      <c r="E18" s="35">
        <f t="shared" si="0"/>
        <v>0</v>
      </c>
      <c r="F18" s="44" t="str">
        <f>VLOOKUP(E18, 'Rank Data'!$A$1:$B$25, 2, TRUE)</f>
        <v>Rookie 4</v>
      </c>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row>
    <row r="19" spans="1:46" x14ac:dyDescent="0.25">
      <c r="A19" s="22">
        <v>18</v>
      </c>
      <c r="B19" s="13"/>
      <c r="C19" s="14"/>
      <c r="D19" s="15"/>
      <c r="E19" s="35">
        <f t="shared" si="0"/>
        <v>0</v>
      </c>
      <c r="F19" s="44" t="str">
        <f>VLOOKUP(E19, 'Rank Data'!$A$1:$B$25, 2, TRUE)</f>
        <v>Rookie 4</v>
      </c>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row>
    <row r="20" spans="1:46" x14ac:dyDescent="0.25">
      <c r="A20" s="22">
        <v>19</v>
      </c>
      <c r="B20" s="13"/>
      <c r="C20" s="14"/>
      <c r="D20" s="15"/>
      <c r="E20" s="35">
        <f t="shared" si="0"/>
        <v>0</v>
      </c>
      <c r="F20" s="44" t="str">
        <f>VLOOKUP(E20, 'Rank Data'!$A$1:$B$25, 2, TRUE)</f>
        <v>Rookie 4</v>
      </c>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row>
    <row r="21" spans="1:46" x14ac:dyDescent="0.25">
      <c r="A21" s="22">
        <v>20</v>
      </c>
      <c r="B21" s="13"/>
      <c r="C21" s="14"/>
      <c r="D21" s="15"/>
      <c r="E21" s="35">
        <f t="shared" si="0"/>
        <v>0</v>
      </c>
      <c r="F21" s="44" t="str">
        <f>VLOOKUP(E21, 'Rank Data'!$A$1:$B$25, 2, TRUE)</f>
        <v>Rookie 4</v>
      </c>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row>
    <row r="22" spans="1:46" x14ac:dyDescent="0.25">
      <c r="A22" s="22">
        <v>21</v>
      </c>
      <c r="B22" s="13"/>
      <c r="C22" s="14"/>
      <c r="D22" s="15"/>
      <c r="E22" s="35">
        <f t="shared" si="0"/>
        <v>0</v>
      </c>
      <c r="F22" s="44" t="str">
        <f>VLOOKUP(E22, 'Rank Data'!$A$1:$B$25, 2, TRUE)</f>
        <v>Rookie 4</v>
      </c>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row>
    <row r="23" spans="1:46" x14ac:dyDescent="0.25">
      <c r="A23" s="22">
        <v>22</v>
      </c>
      <c r="B23" s="13"/>
      <c r="C23" s="14"/>
      <c r="D23" s="15"/>
      <c r="E23" s="35">
        <f t="shared" si="0"/>
        <v>0</v>
      </c>
      <c r="F23" s="44" t="str">
        <f>VLOOKUP(E23, 'Rank Data'!$A$1:$B$25, 2, TRUE)</f>
        <v>Rookie 4</v>
      </c>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row>
    <row r="24" spans="1:46" x14ac:dyDescent="0.25">
      <c r="A24" s="22">
        <v>23</v>
      </c>
      <c r="B24" s="13"/>
      <c r="C24" s="14"/>
      <c r="D24" s="15"/>
      <c r="E24" s="35">
        <f t="shared" si="0"/>
        <v>0</v>
      </c>
      <c r="F24" s="44" t="str">
        <f>VLOOKUP(E24, 'Rank Data'!$A$1:$B$25, 2, TRUE)</f>
        <v>Rookie 4</v>
      </c>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row>
    <row r="25" spans="1:46" x14ac:dyDescent="0.25">
      <c r="A25" s="22">
        <v>24</v>
      </c>
      <c r="B25" s="13"/>
      <c r="C25" s="14"/>
      <c r="D25" s="15"/>
      <c r="E25" s="35">
        <f t="shared" si="0"/>
        <v>0</v>
      </c>
      <c r="F25" s="44" t="str">
        <f>VLOOKUP(E25, 'Rank Data'!$A$1:$B$25, 2, TRUE)</f>
        <v>Rookie 4</v>
      </c>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row>
    <row r="26" spans="1:46" x14ac:dyDescent="0.25">
      <c r="A26" s="22">
        <v>25</v>
      </c>
      <c r="B26" s="13"/>
      <c r="C26" s="14"/>
      <c r="D26" s="15"/>
      <c r="E26" s="35">
        <f t="shared" si="0"/>
        <v>0</v>
      </c>
      <c r="F26" s="44" t="str">
        <f>VLOOKUP(E26, 'Rank Data'!$A$1:$B$25, 2, TRUE)</f>
        <v>Rookie 4</v>
      </c>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row>
    <row r="27" spans="1:46" x14ac:dyDescent="0.25">
      <c r="A27" s="22">
        <v>26</v>
      </c>
      <c r="B27" s="13"/>
      <c r="C27" s="14"/>
      <c r="D27" s="15"/>
      <c r="E27" s="35">
        <f t="shared" si="0"/>
        <v>0</v>
      </c>
      <c r="F27" s="44" t="str">
        <f>VLOOKUP(E27, 'Rank Data'!$A$1:$B$25, 2, TRUE)</f>
        <v>Rookie 4</v>
      </c>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row>
    <row r="28" spans="1:46" x14ac:dyDescent="0.25">
      <c r="A28" s="22">
        <v>27</v>
      </c>
      <c r="B28" s="13"/>
      <c r="C28" s="14"/>
      <c r="D28" s="15"/>
      <c r="E28" s="35">
        <f t="shared" si="0"/>
        <v>0</v>
      </c>
      <c r="F28" s="44" t="str">
        <f>VLOOKUP(E28, 'Rank Data'!$A$1:$B$25, 2, TRUE)</f>
        <v>Rookie 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row>
    <row r="29" spans="1:46" x14ac:dyDescent="0.25">
      <c r="A29" s="22">
        <v>28</v>
      </c>
      <c r="B29" s="13"/>
      <c r="C29" s="14"/>
      <c r="D29" s="15"/>
      <c r="E29" s="35">
        <f t="shared" si="0"/>
        <v>0</v>
      </c>
      <c r="F29" s="44" t="str">
        <f>VLOOKUP(E29, 'Rank Data'!$A$1:$B$25, 2, TRUE)</f>
        <v>Rookie 4</v>
      </c>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row>
    <row r="30" spans="1:46" x14ac:dyDescent="0.25">
      <c r="A30" s="22">
        <v>29</v>
      </c>
      <c r="B30" s="13"/>
      <c r="C30" s="14"/>
      <c r="D30" s="15"/>
      <c r="E30" s="35">
        <f t="shared" si="0"/>
        <v>0</v>
      </c>
      <c r="F30" s="44" t="str">
        <f>VLOOKUP(E30, 'Rank Data'!$A$1:$B$25, 2, TRUE)</f>
        <v>Rookie 4</v>
      </c>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row>
    <row r="31" spans="1:46" x14ac:dyDescent="0.25">
      <c r="A31" s="22">
        <v>30</v>
      </c>
      <c r="B31" s="13"/>
      <c r="C31" s="14"/>
      <c r="D31" s="15"/>
      <c r="E31" s="35">
        <f t="shared" si="0"/>
        <v>0</v>
      </c>
      <c r="F31" s="44" t="str">
        <f>VLOOKUP(E31, 'Rank Data'!$A$1:$B$25, 2, TRUE)</f>
        <v>Rookie 4</v>
      </c>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row>
    <row r="32" spans="1:46" x14ac:dyDescent="0.25">
      <c r="A32" s="22">
        <v>31</v>
      </c>
      <c r="B32" s="13"/>
      <c r="C32" s="14"/>
      <c r="D32" s="15"/>
      <c r="E32" s="35">
        <f t="shared" si="0"/>
        <v>0</v>
      </c>
      <c r="F32" s="44" t="str">
        <f>VLOOKUP(E32, 'Rank Data'!$A$1:$B$25, 2, TRUE)</f>
        <v>Rookie 4</v>
      </c>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row>
    <row r="33" spans="1:46" x14ac:dyDescent="0.25">
      <c r="A33" s="22">
        <v>32</v>
      </c>
      <c r="B33" s="13"/>
      <c r="C33" s="14"/>
      <c r="D33" s="15"/>
      <c r="E33" s="35">
        <f t="shared" si="0"/>
        <v>0</v>
      </c>
      <c r="F33" s="44" t="str">
        <f>VLOOKUP(E33, 'Rank Data'!$A$1:$B$25, 2, TRUE)</f>
        <v>Rookie 4</v>
      </c>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row>
    <row r="34" spans="1:46" x14ac:dyDescent="0.25">
      <c r="A34" s="22">
        <v>33</v>
      </c>
      <c r="B34" s="13"/>
      <c r="C34" s="14"/>
      <c r="D34" s="15"/>
      <c r="E34" s="35">
        <f t="shared" si="0"/>
        <v>0</v>
      </c>
      <c r="F34" s="44" t="str">
        <f>VLOOKUP(E34, 'Rank Data'!$A$1:$B$25, 2, TRUE)</f>
        <v>Rookie 4</v>
      </c>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row>
    <row r="35" spans="1:46" x14ac:dyDescent="0.25">
      <c r="A35" s="22">
        <v>34</v>
      </c>
      <c r="B35" s="13"/>
      <c r="C35" s="14"/>
      <c r="D35" s="15"/>
      <c r="E35" s="35">
        <f t="shared" si="0"/>
        <v>0</v>
      </c>
      <c r="F35" s="44" t="str">
        <f>VLOOKUP(E35, 'Rank Data'!$A$1:$B$25, 2, TRUE)</f>
        <v>Rookie 4</v>
      </c>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row>
    <row r="36" spans="1:46" x14ac:dyDescent="0.25">
      <c r="A36" s="22">
        <v>35</v>
      </c>
      <c r="B36" s="13"/>
      <c r="C36" s="14"/>
      <c r="D36" s="15"/>
      <c r="E36" s="35">
        <f t="shared" si="0"/>
        <v>0</v>
      </c>
      <c r="F36" s="44" t="str">
        <f>VLOOKUP(E36, 'Rank Data'!$A$1:$B$25, 2, TRUE)</f>
        <v>Rookie 4</v>
      </c>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row>
    <row r="37" spans="1:46" x14ac:dyDescent="0.25">
      <c r="A37" s="22">
        <v>36</v>
      </c>
      <c r="B37" s="13"/>
      <c r="C37" s="14"/>
      <c r="D37" s="15"/>
      <c r="E37" s="35">
        <f t="shared" si="0"/>
        <v>0</v>
      </c>
      <c r="F37" s="44" t="str">
        <f>VLOOKUP(E37, 'Rank Data'!$A$1:$B$25, 2, TRUE)</f>
        <v>Rookie 4</v>
      </c>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row>
    <row r="38" spans="1:46" x14ac:dyDescent="0.25">
      <c r="A38" s="22">
        <v>37</v>
      </c>
      <c r="B38" s="13"/>
      <c r="C38" s="14"/>
      <c r="D38" s="15"/>
      <c r="E38" s="35">
        <f t="shared" si="0"/>
        <v>0</v>
      </c>
      <c r="F38" s="44" t="str">
        <f>VLOOKUP(E38, 'Rank Data'!$A$1:$B$25, 2, TRUE)</f>
        <v>Rookie 4</v>
      </c>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row>
    <row r="39" spans="1:46" x14ac:dyDescent="0.25">
      <c r="A39" s="22">
        <v>38</v>
      </c>
      <c r="B39" s="13"/>
      <c r="C39" s="14"/>
      <c r="D39" s="15"/>
      <c r="E39" s="35">
        <f t="shared" si="0"/>
        <v>0</v>
      </c>
      <c r="F39" s="44" t="str">
        <f>VLOOKUP(E39, 'Rank Data'!$A$1:$B$25, 2, TRUE)</f>
        <v>Rookie 4</v>
      </c>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row>
    <row r="40" spans="1:46" x14ac:dyDescent="0.25">
      <c r="A40" s="22">
        <v>39</v>
      </c>
      <c r="B40" s="13"/>
      <c r="C40" s="14"/>
      <c r="D40" s="15"/>
      <c r="E40" s="35">
        <f t="shared" si="0"/>
        <v>0</v>
      </c>
      <c r="F40" s="44" t="str">
        <f>VLOOKUP(E40, 'Rank Data'!$A$1:$B$25, 2, TRUE)</f>
        <v>Rookie 4</v>
      </c>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row>
    <row r="41" spans="1:46" x14ac:dyDescent="0.25">
      <c r="A41" s="22">
        <v>40</v>
      </c>
      <c r="B41" s="13"/>
      <c r="C41" s="14"/>
      <c r="D41" s="15"/>
      <c r="E41" s="35">
        <f t="shared" si="0"/>
        <v>0</v>
      </c>
      <c r="F41" s="44" t="str">
        <f>VLOOKUP(E41, 'Rank Data'!$A$1:$B$25, 2, TRUE)</f>
        <v>Rookie 4</v>
      </c>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row>
    <row r="42" spans="1:46" x14ac:dyDescent="0.25">
      <c r="A42" s="22">
        <v>41</v>
      </c>
      <c r="B42" s="13"/>
      <c r="C42" s="14"/>
      <c r="D42" s="15"/>
      <c r="E42" s="35">
        <f t="shared" si="0"/>
        <v>0</v>
      </c>
      <c r="F42" s="44" t="str">
        <f>VLOOKUP(E42, 'Rank Data'!$A$1:$B$25, 2, TRUE)</f>
        <v>Rookie 4</v>
      </c>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row>
    <row r="43" spans="1:46" x14ac:dyDescent="0.25">
      <c r="A43" s="22">
        <v>42</v>
      </c>
      <c r="B43" s="13"/>
      <c r="C43" s="14"/>
      <c r="D43" s="15"/>
      <c r="E43" s="35">
        <f t="shared" si="0"/>
        <v>0</v>
      </c>
      <c r="F43" s="44" t="str">
        <f>VLOOKUP(E43, 'Rank Data'!$A$1:$B$25, 2, TRUE)</f>
        <v>Rookie 4</v>
      </c>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row>
    <row r="44" spans="1:46" x14ac:dyDescent="0.25">
      <c r="A44" s="22">
        <v>43</v>
      </c>
      <c r="B44" s="13"/>
      <c r="C44" s="14"/>
      <c r="D44" s="15"/>
      <c r="E44" s="35">
        <f t="shared" si="0"/>
        <v>0</v>
      </c>
      <c r="F44" s="44" t="str">
        <f>VLOOKUP(E44, 'Rank Data'!$A$1:$B$25, 2, TRUE)</f>
        <v>Rookie 4</v>
      </c>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row>
    <row r="45" spans="1:46" x14ac:dyDescent="0.25">
      <c r="A45" s="22">
        <v>44</v>
      </c>
      <c r="B45" s="13"/>
      <c r="C45" s="14"/>
      <c r="D45" s="15"/>
      <c r="E45" s="35">
        <f t="shared" si="0"/>
        <v>0</v>
      </c>
      <c r="F45" s="44" t="str">
        <f>VLOOKUP(E45, 'Rank Data'!$A$1:$B$25, 2, TRUE)</f>
        <v>Rookie 4</v>
      </c>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row>
    <row r="46" spans="1:46" x14ac:dyDescent="0.25">
      <c r="A46" s="22">
        <v>45</v>
      </c>
      <c r="B46" s="13"/>
      <c r="C46" s="14"/>
      <c r="D46" s="15"/>
      <c r="E46" s="35">
        <f t="shared" si="0"/>
        <v>0</v>
      </c>
      <c r="F46" s="44" t="str">
        <f>VLOOKUP(E46, 'Rank Data'!$A$1:$B$25, 2, TRUE)</f>
        <v>Rookie 4</v>
      </c>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row>
    <row r="47" spans="1:46" x14ac:dyDescent="0.25">
      <c r="A47" s="22">
        <v>46</v>
      </c>
      <c r="B47" s="13"/>
      <c r="C47" s="14"/>
      <c r="D47" s="15"/>
      <c r="E47" s="35">
        <f t="shared" si="0"/>
        <v>0</v>
      </c>
      <c r="F47" s="44" t="str">
        <f>VLOOKUP(E47, 'Rank Data'!$A$1:$B$25, 2, TRUE)</f>
        <v>Rookie 4</v>
      </c>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row>
    <row r="48" spans="1:46" x14ac:dyDescent="0.25">
      <c r="A48" s="22">
        <v>47</v>
      </c>
      <c r="B48" s="13"/>
      <c r="C48" s="14"/>
      <c r="D48" s="15"/>
      <c r="E48" s="35">
        <f t="shared" si="0"/>
        <v>0</v>
      </c>
      <c r="F48" s="44" t="str">
        <f>VLOOKUP(E48, 'Rank Data'!$A$1:$B$25, 2, TRUE)</f>
        <v>Rookie 4</v>
      </c>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row>
    <row r="49" spans="1:46" x14ac:dyDescent="0.25">
      <c r="A49" s="22">
        <v>48</v>
      </c>
      <c r="B49" s="13"/>
      <c r="C49" s="14"/>
      <c r="D49" s="15"/>
      <c r="E49" s="35">
        <f t="shared" si="0"/>
        <v>0</v>
      </c>
      <c r="F49" s="44" t="str">
        <f>VLOOKUP(E49, 'Rank Data'!$A$1:$B$25, 2, TRUE)</f>
        <v>Rookie 4</v>
      </c>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row>
    <row r="50" spans="1:46" x14ac:dyDescent="0.25">
      <c r="A50" s="22">
        <v>49</v>
      </c>
      <c r="B50" s="13"/>
      <c r="C50" s="14"/>
      <c r="D50" s="15"/>
      <c r="E50" s="35">
        <f t="shared" si="0"/>
        <v>0</v>
      </c>
      <c r="F50" s="44" t="str">
        <f>VLOOKUP(E50, 'Rank Data'!$A$1:$B$25, 2, TRUE)</f>
        <v>Rookie 4</v>
      </c>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row>
    <row r="51" spans="1:46" x14ac:dyDescent="0.25">
      <c r="A51" s="22">
        <v>50</v>
      </c>
      <c r="B51" s="13"/>
      <c r="C51" s="14"/>
      <c r="D51" s="15"/>
      <c r="E51" s="35">
        <f t="shared" si="0"/>
        <v>0</v>
      </c>
      <c r="F51" s="44" t="str">
        <f>VLOOKUP(E51, 'Rank Data'!$A$1:$B$25, 2, TRUE)</f>
        <v>Rookie 4</v>
      </c>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row>
    <row r="52" spans="1:46" x14ac:dyDescent="0.25">
      <c r="A52" s="22">
        <v>51</v>
      </c>
      <c r="B52" s="13"/>
      <c r="C52" s="14"/>
      <c r="D52" s="15"/>
      <c r="E52" s="35">
        <f t="shared" si="0"/>
        <v>0</v>
      </c>
      <c r="F52" s="44" t="str">
        <f>VLOOKUP(E52, 'Rank Data'!$A$1:$B$25, 2, TRUE)</f>
        <v>Rookie 4</v>
      </c>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row>
    <row r="53" spans="1:46" x14ac:dyDescent="0.25">
      <c r="A53" s="22">
        <v>52</v>
      </c>
      <c r="B53" s="13"/>
      <c r="C53" s="14"/>
      <c r="D53" s="15"/>
      <c r="E53" s="35">
        <f t="shared" si="0"/>
        <v>0</v>
      </c>
      <c r="F53" s="44" t="str">
        <f>VLOOKUP(E53, 'Rank Data'!$A$1:$B$25, 2, TRUE)</f>
        <v>Rookie 4</v>
      </c>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row>
    <row r="54" spans="1:46" x14ac:dyDescent="0.25">
      <c r="A54" s="22">
        <v>53</v>
      </c>
      <c r="B54" s="13"/>
      <c r="C54" s="14"/>
      <c r="D54" s="15"/>
      <c r="E54" s="35">
        <f t="shared" si="0"/>
        <v>0</v>
      </c>
      <c r="F54" s="44" t="str">
        <f>VLOOKUP(E54, 'Rank Data'!$A$1:$B$25, 2, TRUE)</f>
        <v>Rookie 4</v>
      </c>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row>
    <row r="55" spans="1:46" x14ac:dyDescent="0.25">
      <c r="A55" s="22">
        <v>54</v>
      </c>
      <c r="B55" s="13"/>
      <c r="C55" s="14"/>
      <c r="D55" s="15"/>
      <c r="E55" s="35">
        <f t="shared" si="0"/>
        <v>0</v>
      </c>
      <c r="F55" s="44" t="str">
        <f>VLOOKUP(E55, 'Rank Data'!$A$1:$B$25, 2, TRUE)</f>
        <v>Rookie 4</v>
      </c>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row>
    <row r="56" spans="1:46" x14ac:dyDescent="0.25">
      <c r="A56" s="22">
        <v>55</v>
      </c>
      <c r="B56" s="13"/>
      <c r="C56" s="14"/>
      <c r="D56" s="15"/>
      <c r="E56" s="35">
        <f t="shared" si="0"/>
        <v>0</v>
      </c>
      <c r="F56" s="44" t="str">
        <f>VLOOKUP(E56, 'Rank Data'!$A$1:$B$25, 2, TRUE)</f>
        <v>Rookie 4</v>
      </c>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row>
    <row r="57" spans="1:46" x14ac:dyDescent="0.25">
      <c r="A57" s="22">
        <v>56</v>
      </c>
      <c r="B57" s="13"/>
      <c r="C57" s="14"/>
      <c r="D57" s="15"/>
      <c r="E57" s="35">
        <f t="shared" si="0"/>
        <v>0</v>
      </c>
      <c r="F57" s="44" t="str">
        <f>VLOOKUP(E57, 'Rank Data'!$A$1:$B$25, 2, TRUE)</f>
        <v>Rookie 4</v>
      </c>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row>
    <row r="58" spans="1:46" x14ac:dyDescent="0.25">
      <c r="A58" s="22">
        <v>57</v>
      </c>
      <c r="B58" s="13"/>
      <c r="C58" s="14"/>
      <c r="D58" s="15"/>
      <c r="E58" s="35">
        <f t="shared" si="0"/>
        <v>0</v>
      </c>
      <c r="F58" s="44" t="str">
        <f>VLOOKUP(E58, 'Rank Data'!$A$1:$B$25, 2, TRUE)</f>
        <v>Rookie 4</v>
      </c>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row>
    <row r="59" spans="1:46" x14ac:dyDescent="0.25">
      <c r="A59" s="22">
        <v>58</v>
      </c>
      <c r="B59" s="13"/>
      <c r="C59" s="14"/>
      <c r="D59" s="15"/>
      <c r="E59" s="35">
        <f t="shared" si="0"/>
        <v>0</v>
      </c>
      <c r="F59" s="44" t="str">
        <f>VLOOKUP(E59, 'Rank Data'!$A$1:$B$25, 2, TRUE)</f>
        <v>Rookie 4</v>
      </c>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row>
    <row r="60" spans="1:46" x14ac:dyDescent="0.25">
      <c r="A60" s="22">
        <v>59</v>
      </c>
      <c r="B60" s="13"/>
      <c r="C60" s="14"/>
      <c r="D60" s="15"/>
      <c r="E60" s="35">
        <f t="shared" si="0"/>
        <v>0</v>
      </c>
      <c r="F60" s="44" t="str">
        <f>VLOOKUP(E60, 'Rank Data'!$A$1:$B$25, 2, TRUE)</f>
        <v>Rookie 4</v>
      </c>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row>
    <row r="61" spans="1:46" x14ac:dyDescent="0.25">
      <c r="A61" s="22">
        <v>60</v>
      </c>
      <c r="B61" s="13"/>
      <c r="C61" s="14"/>
      <c r="D61" s="15"/>
      <c r="E61" s="35">
        <f t="shared" si="0"/>
        <v>0</v>
      </c>
      <c r="F61" s="44" t="str">
        <f>VLOOKUP(E61, 'Rank Data'!$A$1:$B$25, 2, TRUE)</f>
        <v>Rookie 4</v>
      </c>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row>
    <row r="62" spans="1:46" x14ac:dyDescent="0.25">
      <c r="A62" s="22">
        <v>61</v>
      </c>
      <c r="B62" s="13"/>
      <c r="C62" s="14"/>
      <c r="D62" s="15"/>
      <c r="E62" s="35">
        <f t="shared" si="0"/>
        <v>0</v>
      </c>
      <c r="F62" s="44" t="str">
        <f>VLOOKUP(E62, 'Rank Data'!$A$1:$B$25, 2, TRUE)</f>
        <v>Rookie 4</v>
      </c>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row>
    <row r="63" spans="1:46" x14ac:dyDescent="0.25">
      <c r="A63" s="22">
        <v>62</v>
      </c>
      <c r="B63" s="13"/>
      <c r="C63" s="14"/>
      <c r="D63" s="15"/>
      <c r="E63" s="35">
        <f t="shared" si="0"/>
        <v>0</v>
      </c>
      <c r="F63" s="44" t="str">
        <f>VLOOKUP(E63, 'Rank Data'!$A$1:$B$25, 2, TRUE)</f>
        <v>Rookie 4</v>
      </c>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row>
    <row r="64" spans="1:46" x14ac:dyDescent="0.25">
      <c r="A64" s="22">
        <v>63</v>
      </c>
      <c r="B64" s="13"/>
      <c r="C64" s="14"/>
      <c r="D64" s="15"/>
      <c r="E64" s="35">
        <f t="shared" si="0"/>
        <v>0</v>
      </c>
      <c r="F64" s="44" t="str">
        <f>VLOOKUP(E64, 'Rank Data'!$A$1:$B$25, 2, TRUE)</f>
        <v>Rookie 4</v>
      </c>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row>
    <row r="65" spans="1:46" x14ac:dyDescent="0.25">
      <c r="A65" s="22">
        <v>64</v>
      </c>
      <c r="B65" s="13"/>
      <c r="C65" s="14"/>
      <c r="D65" s="15"/>
      <c r="E65" s="35">
        <f t="shared" si="0"/>
        <v>0</v>
      </c>
      <c r="F65" s="44" t="str">
        <f>VLOOKUP(E65, 'Rank Data'!$A$1:$B$25, 2, TRUE)</f>
        <v>Rookie 4</v>
      </c>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row>
    <row r="66" spans="1:46" x14ac:dyDescent="0.25">
      <c r="A66" s="22">
        <v>65</v>
      </c>
      <c r="B66" s="13"/>
      <c r="C66" s="14"/>
      <c r="D66" s="15"/>
      <c r="E66" s="35">
        <f t="shared" si="0"/>
        <v>0</v>
      </c>
      <c r="F66" s="44" t="str">
        <f>VLOOKUP(E66, 'Rank Data'!$A$1:$B$25, 2, TRUE)</f>
        <v>Rookie 4</v>
      </c>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row>
    <row r="67" spans="1:46" x14ac:dyDescent="0.25">
      <c r="A67" s="22">
        <v>66</v>
      </c>
      <c r="B67" s="13"/>
      <c r="C67" s="14"/>
      <c r="D67" s="15"/>
      <c r="E67" s="35">
        <f t="shared" si="0"/>
        <v>0</v>
      </c>
      <c r="F67" s="44" t="str">
        <f>VLOOKUP(E67, 'Rank Data'!$A$1:$B$25, 2, TRUE)</f>
        <v>Rookie 4</v>
      </c>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row>
    <row r="68" spans="1:46" x14ac:dyDescent="0.25">
      <c r="A68" s="22">
        <v>67</v>
      </c>
      <c r="B68" s="13"/>
      <c r="C68" s="14"/>
      <c r="D68" s="15"/>
      <c r="E68" s="35">
        <f t="shared" si="0"/>
        <v>0</v>
      </c>
      <c r="F68" s="44" t="str">
        <f>VLOOKUP(E68, 'Rank Data'!$A$1:$B$25, 2, TRUE)</f>
        <v>Rookie 4</v>
      </c>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row>
    <row r="69" spans="1:46" x14ac:dyDescent="0.25">
      <c r="A69" s="22">
        <v>68</v>
      </c>
      <c r="B69" s="13"/>
      <c r="C69" s="14"/>
      <c r="D69" s="15"/>
      <c r="E69" s="35">
        <f t="shared" ref="E69:E132" si="1">SUM(E68,D68)</f>
        <v>0</v>
      </c>
      <c r="F69" s="44" t="str">
        <f>VLOOKUP(E69, 'Rank Data'!$A$1:$B$25, 2, TRUE)</f>
        <v>Rookie 4</v>
      </c>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row>
    <row r="70" spans="1:46" x14ac:dyDescent="0.25">
      <c r="A70" s="22">
        <v>69</v>
      </c>
      <c r="B70" s="13"/>
      <c r="C70" s="14"/>
      <c r="D70" s="15"/>
      <c r="E70" s="35">
        <f t="shared" si="1"/>
        <v>0</v>
      </c>
      <c r="F70" s="44" t="str">
        <f>VLOOKUP(E70, 'Rank Data'!$A$1:$B$25, 2, TRUE)</f>
        <v>Rookie 4</v>
      </c>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row>
    <row r="71" spans="1:46" x14ac:dyDescent="0.25">
      <c r="A71" s="22">
        <v>70</v>
      </c>
      <c r="B71" s="13"/>
      <c r="C71" s="14"/>
      <c r="D71" s="15"/>
      <c r="E71" s="35">
        <f t="shared" si="1"/>
        <v>0</v>
      </c>
      <c r="F71" s="44" t="str">
        <f>VLOOKUP(E71, 'Rank Data'!$A$1:$B$25, 2, TRUE)</f>
        <v>Rookie 4</v>
      </c>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row>
    <row r="72" spans="1:46" x14ac:dyDescent="0.25">
      <c r="A72" s="22">
        <v>71</v>
      </c>
      <c r="B72" s="13"/>
      <c r="C72" s="14"/>
      <c r="D72" s="15"/>
      <c r="E72" s="35">
        <f t="shared" si="1"/>
        <v>0</v>
      </c>
      <c r="F72" s="44" t="str">
        <f>VLOOKUP(E72, 'Rank Data'!$A$1:$B$25, 2, TRUE)</f>
        <v>Rookie 4</v>
      </c>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row>
    <row r="73" spans="1:46" x14ac:dyDescent="0.25">
      <c r="A73" s="22">
        <v>72</v>
      </c>
      <c r="B73" s="13"/>
      <c r="C73" s="14"/>
      <c r="D73" s="15"/>
      <c r="E73" s="35">
        <f t="shared" si="1"/>
        <v>0</v>
      </c>
      <c r="F73" s="44" t="str">
        <f>VLOOKUP(E73, 'Rank Data'!$A$1:$B$25, 2, TRUE)</f>
        <v>Rookie 4</v>
      </c>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row>
    <row r="74" spans="1:46" x14ac:dyDescent="0.25">
      <c r="A74" s="22">
        <v>73</v>
      </c>
      <c r="B74" s="13"/>
      <c r="C74" s="14"/>
      <c r="D74" s="15"/>
      <c r="E74" s="35">
        <f t="shared" si="1"/>
        <v>0</v>
      </c>
      <c r="F74" s="44" t="str">
        <f>VLOOKUP(E74, 'Rank Data'!$A$1:$B$25, 2, TRUE)</f>
        <v>Rookie 4</v>
      </c>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row>
    <row r="75" spans="1:46" x14ac:dyDescent="0.25">
      <c r="A75" s="22">
        <v>74</v>
      </c>
      <c r="B75" s="13"/>
      <c r="C75" s="14"/>
      <c r="D75" s="15"/>
      <c r="E75" s="35">
        <f t="shared" si="1"/>
        <v>0</v>
      </c>
      <c r="F75" s="44" t="str">
        <f>VLOOKUP(E75, 'Rank Data'!$A$1:$B$25, 2, TRUE)</f>
        <v>Rookie 4</v>
      </c>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row>
    <row r="76" spans="1:46" x14ac:dyDescent="0.25">
      <c r="A76" s="22">
        <v>75</v>
      </c>
      <c r="B76" s="13"/>
      <c r="C76" s="14"/>
      <c r="D76" s="15"/>
      <c r="E76" s="35">
        <f t="shared" si="1"/>
        <v>0</v>
      </c>
      <c r="F76" s="44" t="str">
        <f>VLOOKUP(E76, 'Rank Data'!$A$1:$B$25, 2, TRUE)</f>
        <v>Rookie 4</v>
      </c>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row>
    <row r="77" spans="1:46" x14ac:dyDescent="0.25">
      <c r="A77" s="22">
        <v>76</v>
      </c>
      <c r="B77" s="13"/>
      <c r="C77" s="14"/>
      <c r="D77" s="15"/>
      <c r="E77" s="35">
        <f t="shared" si="1"/>
        <v>0</v>
      </c>
      <c r="F77" s="44" t="str">
        <f>VLOOKUP(E77, 'Rank Data'!$A$1:$B$25, 2, TRUE)</f>
        <v>Rookie 4</v>
      </c>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row>
    <row r="78" spans="1:46" x14ac:dyDescent="0.25">
      <c r="A78" s="22">
        <v>77</v>
      </c>
      <c r="B78" s="13"/>
      <c r="C78" s="14"/>
      <c r="D78" s="15"/>
      <c r="E78" s="35">
        <f t="shared" si="1"/>
        <v>0</v>
      </c>
      <c r="F78" s="44" t="str">
        <f>VLOOKUP(E78, 'Rank Data'!$A$1:$B$25, 2, TRUE)</f>
        <v>Rookie 4</v>
      </c>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row>
    <row r="79" spans="1:46" x14ac:dyDescent="0.25">
      <c r="A79" s="22">
        <v>78</v>
      </c>
      <c r="B79" s="13"/>
      <c r="C79" s="14"/>
      <c r="D79" s="15"/>
      <c r="E79" s="35">
        <f t="shared" si="1"/>
        <v>0</v>
      </c>
      <c r="F79" s="44" t="str">
        <f>VLOOKUP(E79, 'Rank Data'!$A$1:$B$25, 2, TRUE)</f>
        <v>Rookie 4</v>
      </c>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row>
    <row r="80" spans="1:46" x14ac:dyDescent="0.25">
      <c r="A80" s="22">
        <v>79</v>
      </c>
      <c r="B80" s="13"/>
      <c r="C80" s="14"/>
      <c r="D80" s="15"/>
      <c r="E80" s="35">
        <f t="shared" si="1"/>
        <v>0</v>
      </c>
      <c r="F80" s="44" t="str">
        <f>VLOOKUP(E80, 'Rank Data'!$A$1:$B$25, 2, TRUE)</f>
        <v>Rookie 4</v>
      </c>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row>
    <row r="81" spans="1:46" x14ac:dyDescent="0.25">
      <c r="A81" s="22">
        <v>80</v>
      </c>
      <c r="B81" s="13"/>
      <c r="C81" s="14"/>
      <c r="D81" s="15"/>
      <c r="E81" s="35">
        <f t="shared" si="1"/>
        <v>0</v>
      </c>
      <c r="F81" s="44" t="str">
        <f>VLOOKUP(E81, 'Rank Data'!$A$1:$B$25, 2, TRUE)</f>
        <v>Rookie 4</v>
      </c>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row>
    <row r="82" spans="1:46" x14ac:dyDescent="0.25">
      <c r="A82" s="22">
        <v>81</v>
      </c>
      <c r="B82" s="13"/>
      <c r="C82" s="14"/>
      <c r="D82" s="15"/>
      <c r="E82" s="35">
        <f t="shared" si="1"/>
        <v>0</v>
      </c>
      <c r="F82" s="44" t="str">
        <f>VLOOKUP(E82, 'Rank Data'!$A$1:$B$25, 2, TRUE)</f>
        <v>Rookie 4</v>
      </c>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row>
    <row r="83" spans="1:46" x14ac:dyDescent="0.25">
      <c r="A83" s="22">
        <v>82</v>
      </c>
      <c r="B83" s="13"/>
      <c r="C83" s="14"/>
      <c r="D83" s="15"/>
      <c r="E83" s="35">
        <f t="shared" si="1"/>
        <v>0</v>
      </c>
      <c r="F83" s="44" t="str">
        <f>VLOOKUP(E83, 'Rank Data'!$A$1:$B$25, 2, TRUE)</f>
        <v>Rookie 4</v>
      </c>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row>
    <row r="84" spans="1:46" x14ac:dyDescent="0.25">
      <c r="A84" s="22">
        <v>83</v>
      </c>
      <c r="B84" s="13"/>
      <c r="C84" s="14"/>
      <c r="D84" s="15"/>
      <c r="E84" s="35">
        <f t="shared" si="1"/>
        <v>0</v>
      </c>
      <c r="F84" s="44" t="str">
        <f>VLOOKUP(E84, 'Rank Data'!$A$1:$B$25, 2, TRUE)</f>
        <v>Rookie 4</v>
      </c>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row>
    <row r="85" spans="1:46" x14ac:dyDescent="0.25">
      <c r="A85" s="22">
        <v>84</v>
      </c>
      <c r="B85" s="13"/>
      <c r="C85" s="14"/>
      <c r="D85" s="15"/>
      <c r="E85" s="35">
        <f t="shared" si="1"/>
        <v>0</v>
      </c>
      <c r="F85" s="44" t="str">
        <f>VLOOKUP(E85, 'Rank Data'!$A$1:$B$25, 2, TRUE)</f>
        <v>Rookie 4</v>
      </c>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row>
    <row r="86" spans="1:46" x14ac:dyDescent="0.25">
      <c r="A86" s="22">
        <v>85</v>
      </c>
      <c r="B86" s="13"/>
      <c r="C86" s="14"/>
      <c r="D86" s="15"/>
      <c r="E86" s="35">
        <f t="shared" si="1"/>
        <v>0</v>
      </c>
      <c r="F86" s="44" t="str">
        <f>VLOOKUP(E86, 'Rank Data'!$A$1:$B$25, 2, TRUE)</f>
        <v>Rookie 4</v>
      </c>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row>
    <row r="87" spans="1:46" x14ac:dyDescent="0.25">
      <c r="A87" s="22">
        <v>86</v>
      </c>
      <c r="B87" s="13"/>
      <c r="C87" s="14"/>
      <c r="D87" s="15"/>
      <c r="E87" s="35">
        <f t="shared" si="1"/>
        <v>0</v>
      </c>
      <c r="F87" s="44" t="str">
        <f>VLOOKUP(E87, 'Rank Data'!$A$1:$B$25, 2, TRUE)</f>
        <v>Rookie 4</v>
      </c>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row>
    <row r="88" spans="1:46" x14ac:dyDescent="0.25">
      <c r="A88" s="22">
        <v>87</v>
      </c>
      <c r="B88" s="13"/>
      <c r="C88" s="14"/>
      <c r="D88" s="15"/>
      <c r="E88" s="35">
        <f t="shared" si="1"/>
        <v>0</v>
      </c>
      <c r="F88" s="44" t="str">
        <f>VLOOKUP(E88, 'Rank Data'!$A$1:$B$25, 2, TRUE)</f>
        <v>Rookie 4</v>
      </c>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row>
    <row r="89" spans="1:46" x14ac:dyDescent="0.25">
      <c r="A89" s="22">
        <v>88</v>
      </c>
      <c r="B89" s="13"/>
      <c r="C89" s="14"/>
      <c r="D89" s="15"/>
      <c r="E89" s="35">
        <f t="shared" si="1"/>
        <v>0</v>
      </c>
      <c r="F89" s="44" t="str">
        <f>VLOOKUP(E89, 'Rank Data'!$A$1:$B$25, 2, TRUE)</f>
        <v>Rookie 4</v>
      </c>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row>
    <row r="90" spans="1:46" x14ac:dyDescent="0.25">
      <c r="A90" s="22">
        <v>89</v>
      </c>
      <c r="B90" s="13"/>
      <c r="C90" s="14"/>
      <c r="D90" s="15"/>
      <c r="E90" s="35">
        <f t="shared" si="1"/>
        <v>0</v>
      </c>
      <c r="F90" s="44" t="str">
        <f>VLOOKUP(E90, 'Rank Data'!$A$1:$B$25, 2, TRUE)</f>
        <v>Rookie 4</v>
      </c>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row>
    <row r="91" spans="1:46" x14ac:dyDescent="0.25">
      <c r="A91" s="22">
        <v>90</v>
      </c>
      <c r="B91" s="13"/>
      <c r="C91" s="14"/>
      <c r="D91" s="15"/>
      <c r="E91" s="35">
        <f t="shared" si="1"/>
        <v>0</v>
      </c>
      <c r="F91" s="44" t="str">
        <f>VLOOKUP(E91, 'Rank Data'!$A$1:$B$25, 2, TRUE)</f>
        <v>Rookie 4</v>
      </c>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row>
    <row r="92" spans="1:46" x14ac:dyDescent="0.25">
      <c r="A92" s="22">
        <v>91</v>
      </c>
      <c r="B92" s="13"/>
      <c r="C92" s="14"/>
      <c r="D92" s="15"/>
      <c r="E92" s="35">
        <f t="shared" si="1"/>
        <v>0</v>
      </c>
      <c r="F92" s="44" t="str">
        <f>VLOOKUP(E92, 'Rank Data'!$A$1:$B$25, 2, TRUE)</f>
        <v>Rookie 4</v>
      </c>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row>
    <row r="93" spans="1:46" x14ac:dyDescent="0.25">
      <c r="A93" s="22">
        <v>92</v>
      </c>
      <c r="B93" s="13"/>
      <c r="C93" s="14"/>
      <c r="D93" s="15"/>
      <c r="E93" s="35">
        <f t="shared" si="1"/>
        <v>0</v>
      </c>
      <c r="F93" s="44" t="str">
        <f>VLOOKUP(E93, 'Rank Data'!$A$1:$B$25, 2, TRUE)</f>
        <v>Rookie 4</v>
      </c>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row>
    <row r="94" spans="1:46" x14ac:dyDescent="0.25">
      <c r="A94" s="22">
        <v>93</v>
      </c>
      <c r="B94" s="13"/>
      <c r="C94" s="14"/>
      <c r="D94" s="15"/>
      <c r="E94" s="35">
        <f t="shared" si="1"/>
        <v>0</v>
      </c>
      <c r="F94" s="44" t="str">
        <f>VLOOKUP(E94, 'Rank Data'!$A$1:$B$25, 2, TRUE)</f>
        <v>Rookie 4</v>
      </c>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row>
    <row r="95" spans="1:46" x14ac:dyDescent="0.25">
      <c r="A95" s="22">
        <v>94</v>
      </c>
      <c r="B95" s="13"/>
      <c r="C95" s="14"/>
      <c r="D95" s="15"/>
      <c r="E95" s="35">
        <f t="shared" si="1"/>
        <v>0</v>
      </c>
      <c r="F95" s="44" t="str">
        <f>VLOOKUP(E95, 'Rank Data'!$A$1:$B$25, 2, TRUE)</f>
        <v>Rookie 4</v>
      </c>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row>
    <row r="96" spans="1:46" x14ac:dyDescent="0.25">
      <c r="A96" s="22">
        <v>95</v>
      </c>
      <c r="B96" s="13"/>
      <c r="C96" s="14"/>
      <c r="D96" s="15"/>
      <c r="E96" s="35">
        <f t="shared" si="1"/>
        <v>0</v>
      </c>
      <c r="F96" s="44" t="str">
        <f>VLOOKUP(E96, 'Rank Data'!$A$1:$B$25, 2, TRUE)</f>
        <v>Rookie 4</v>
      </c>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row>
    <row r="97" spans="1:46" x14ac:dyDescent="0.25">
      <c r="A97" s="22">
        <v>96</v>
      </c>
      <c r="B97" s="13"/>
      <c r="C97" s="14"/>
      <c r="D97" s="15"/>
      <c r="E97" s="35">
        <f t="shared" si="1"/>
        <v>0</v>
      </c>
      <c r="F97" s="44" t="str">
        <f>VLOOKUP(E97, 'Rank Data'!$A$1:$B$25, 2, TRUE)</f>
        <v>Rookie 4</v>
      </c>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row>
    <row r="98" spans="1:46" x14ac:dyDescent="0.25">
      <c r="A98" s="22">
        <v>97</v>
      </c>
      <c r="B98" s="13"/>
      <c r="C98" s="14"/>
      <c r="D98" s="15"/>
      <c r="E98" s="35">
        <f t="shared" si="1"/>
        <v>0</v>
      </c>
      <c r="F98" s="44" t="str">
        <f>VLOOKUP(E98, 'Rank Data'!$A$1:$B$25, 2, TRUE)</f>
        <v>Rookie 4</v>
      </c>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row>
    <row r="99" spans="1:46" x14ac:dyDescent="0.25">
      <c r="A99" s="22">
        <v>98</v>
      </c>
      <c r="B99" s="13"/>
      <c r="C99" s="14"/>
      <c r="D99" s="15"/>
      <c r="E99" s="35">
        <f t="shared" si="1"/>
        <v>0</v>
      </c>
      <c r="F99" s="44" t="str">
        <f>VLOOKUP(E99, 'Rank Data'!$A$1:$B$25, 2, TRUE)</f>
        <v>Rookie 4</v>
      </c>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row>
    <row r="100" spans="1:46" x14ac:dyDescent="0.25">
      <c r="A100" s="22">
        <v>99</v>
      </c>
      <c r="B100" s="13"/>
      <c r="C100" s="14"/>
      <c r="D100" s="15"/>
      <c r="E100" s="35">
        <f t="shared" si="1"/>
        <v>0</v>
      </c>
      <c r="F100" s="44" t="str">
        <f>VLOOKUP(E100, 'Rank Data'!$A$1:$B$25, 2, TRUE)</f>
        <v>Rookie 4</v>
      </c>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row>
    <row r="101" spans="1:46" x14ac:dyDescent="0.25">
      <c r="A101" s="22">
        <v>100</v>
      </c>
      <c r="B101" s="13"/>
      <c r="C101" s="14"/>
      <c r="D101" s="15"/>
      <c r="E101" s="35">
        <f t="shared" si="1"/>
        <v>0</v>
      </c>
      <c r="F101" s="44" t="str">
        <f>VLOOKUP(E101, 'Rank Data'!$A$1:$B$25, 2, TRUE)</f>
        <v>Rookie 4</v>
      </c>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row>
    <row r="102" spans="1:46" x14ac:dyDescent="0.25">
      <c r="A102" s="22">
        <v>101</v>
      </c>
      <c r="B102" s="13"/>
      <c r="C102" s="14"/>
      <c r="D102" s="15"/>
      <c r="E102" s="35">
        <f t="shared" si="1"/>
        <v>0</v>
      </c>
      <c r="F102" s="44" t="str">
        <f>VLOOKUP(E102, 'Rank Data'!$A$1:$B$25, 2, TRUE)</f>
        <v>Rookie 4</v>
      </c>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row>
    <row r="103" spans="1:46" x14ac:dyDescent="0.25">
      <c r="A103" s="22">
        <v>102</v>
      </c>
      <c r="B103" s="13"/>
      <c r="C103" s="14"/>
      <c r="D103" s="15"/>
      <c r="E103" s="35">
        <f t="shared" si="1"/>
        <v>0</v>
      </c>
      <c r="F103" s="44" t="str">
        <f>VLOOKUP(E103, 'Rank Data'!$A$1:$B$25, 2, TRUE)</f>
        <v>Rookie 4</v>
      </c>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row>
    <row r="104" spans="1:46" x14ac:dyDescent="0.25">
      <c r="A104" s="22">
        <v>103</v>
      </c>
      <c r="B104" s="13"/>
      <c r="C104" s="14"/>
      <c r="D104" s="15"/>
      <c r="E104" s="35">
        <f t="shared" si="1"/>
        <v>0</v>
      </c>
      <c r="F104" s="44" t="str">
        <f>VLOOKUP(E104, 'Rank Data'!$A$1:$B$25, 2, TRUE)</f>
        <v>Rookie 4</v>
      </c>
      <c r="G104" s="24"/>
      <c r="H104" s="24"/>
      <c r="I104" s="24"/>
      <c r="J104" s="24"/>
      <c r="K104" s="24"/>
      <c r="L104" s="24"/>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row>
    <row r="105" spans="1:46" x14ac:dyDescent="0.25">
      <c r="A105" s="22">
        <v>104</v>
      </c>
      <c r="B105" s="13"/>
      <c r="C105" s="14"/>
      <c r="D105" s="15"/>
      <c r="E105" s="35">
        <f t="shared" si="1"/>
        <v>0</v>
      </c>
      <c r="F105" s="44" t="str">
        <f>VLOOKUP(E105, 'Rank Data'!$A$1:$B$25, 2, TRUE)</f>
        <v>Rookie 4</v>
      </c>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row>
    <row r="106" spans="1:46" x14ac:dyDescent="0.25">
      <c r="A106" s="22">
        <v>105</v>
      </c>
      <c r="B106" s="13"/>
      <c r="C106" s="14"/>
      <c r="D106" s="15"/>
      <c r="E106" s="35">
        <f t="shared" si="1"/>
        <v>0</v>
      </c>
      <c r="F106" s="44" t="str">
        <f>VLOOKUP(E106, 'Rank Data'!$A$1:$B$25, 2, TRUE)</f>
        <v>Rookie 4</v>
      </c>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row>
    <row r="107" spans="1:46" x14ac:dyDescent="0.25">
      <c r="A107" s="22">
        <v>106</v>
      </c>
      <c r="B107" s="13"/>
      <c r="C107" s="14"/>
      <c r="D107" s="15"/>
      <c r="E107" s="35">
        <f t="shared" si="1"/>
        <v>0</v>
      </c>
      <c r="F107" s="44" t="str">
        <f>VLOOKUP(E107, 'Rank Data'!$A$1:$B$25, 2, TRUE)</f>
        <v>Rookie 4</v>
      </c>
      <c r="G107" s="24"/>
      <c r="H107" s="24"/>
      <c r="I107" s="24"/>
      <c r="J107" s="24"/>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row>
    <row r="108" spans="1:46" x14ac:dyDescent="0.25">
      <c r="A108" s="22">
        <v>107</v>
      </c>
      <c r="B108" s="13"/>
      <c r="C108" s="14"/>
      <c r="D108" s="15"/>
      <c r="E108" s="35">
        <f t="shared" si="1"/>
        <v>0</v>
      </c>
      <c r="F108" s="44" t="str">
        <f>VLOOKUP(E108, 'Rank Data'!$A$1:$B$25, 2, TRUE)</f>
        <v>Rookie 4</v>
      </c>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row>
    <row r="109" spans="1:46" x14ac:dyDescent="0.25">
      <c r="A109" s="22">
        <v>108</v>
      </c>
      <c r="B109" s="13"/>
      <c r="C109" s="14"/>
      <c r="D109" s="15"/>
      <c r="E109" s="35">
        <f t="shared" si="1"/>
        <v>0</v>
      </c>
      <c r="F109" s="44" t="str">
        <f>VLOOKUP(E109, 'Rank Data'!$A$1:$B$25, 2, TRUE)</f>
        <v>Rookie 4</v>
      </c>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row>
    <row r="110" spans="1:46" x14ac:dyDescent="0.25">
      <c r="A110" s="22">
        <v>109</v>
      </c>
      <c r="B110" s="13"/>
      <c r="C110" s="14"/>
      <c r="D110" s="15"/>
      <c r="E110" s="35">
        <f t="shared" si="1"/>
        <v>0</v>
      </c>
      <c r="F110" s="44" t="str">
        <f>VLOOKUP(E110, 'Rank Data'!$A$1:$B$25, 2, TRUE)</f>
        <v>Rookie 4</v>
      </c>
      <c r="G110" s="24"/>
      <c r="H110" s="24"/>
      <c r="I110" s="24"/>
      <c r="J110" s="24"/>
      <c r="K110" s="24"/>
      <c r="L110" s="24"/>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row>
    <row r="111" spans="1:46" x14ac:dyDescent="0.25">
      <c r="A111" s="22">
        <v>110</v>
      </c>
      <c r="B111" s="13"/>
      <c r="C111" s="14"/>
      <c r="D111" s="15"/>
      <c r="E111" s="35">
        <f t="shared" si="1"/>
        <v>0</v>
      </c>
      <c r="F111" s="44" t="str">
        <f>VLOOKUP(E111, 'Rank Data'!$A$1:$B$25, 2, TRUE)</f>
        <v>Rookie 4</v>
      </c>
      <c r="G111" s="24"/>
      <c r="H111" s="24"/>
      <c r="I111" s="24"/>
      <c r="J111" s="24"/>
      <c r="K111" s="24"/>
      <c r="L111" s="24"/>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row>
    <row r="112" spans="1:46" x14ac:dyDescent="0.25">
      <c r="A112" s="22">
        <v>111</v>
      </c>
      <c r="B112" s="13"/>
      <c r="C112" s="14"/>
      <c r="D112" s="15"/>
      <c r="E112" s="35">
        <f t="shared" si="1"/>
        <v>0</v>
      </c>
      <c r="F112" s="44" t="str">
        <f>VLOOKUP(E112, 'Rank Data'!$A$1:$B$25, 2, TRUE)</f>
        <v>Rookie 4</v>
      </c>
      <c r="G112" s="24"/>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row>
    <row r="113" spans="1:46" x14ac:dyDescent="0.25">
      <c r="A113" s="22">
        <v>112</v>
      </c>
      <c r="B113" s="13"/>
      <c r="C113" s="14"/>
      <c r="D113" s="15"/>
      <c r="E113" s="35">
        <f t="shared" si="1"/>
        <v>0</v>
      </c>
      <c r="F113" s="44" t="str">
        <f>VLOOKUP(E113, 'Rank Data'!$A$1:$B$25, 2, TRUE)</f>
        <v>Rookie 4</v>
      </c>
      <c r="G113" s="24"/>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row>
    <row r="114" spans="1:46" x14ac:dyDescent="0.25">
      <c r="A114" s="22">
        <v>113</v>
      </c>
      <c r="B114" s="13"/>
      <c r="C114" s="14"/>
      <c r="D114" s="15"/>
      <c r="E114" s="35">
        <f t="shared" si="1"/>
        <v>0</v>
      </c>
      <c r="F114" s="44" t="str">
        <f>VLOOKUP(E114, 'Rank Data'!$A$1:$B$25, 2, TRUE)</f>
        <v>Rookie 4</v>
      </c>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row>
    <row r="115" spans="1:46" x14ac:dyDescent="0.25">
      <c r="A115" s="22">
        <v>114</v>
      </c>
      <c r="B115" s="13"/>
      <c r="C115" s="14"/>
      <c r="D115" s="15"/>
      <c r="E115" s="35">
        <f t="shared" si="1"/>
        <v>0</v>
      </c>
      <c r="F115" s="44" t="str">
        <f>VLOOKUP(E115, 'Rank Data'!$A$1:$B$25, 2, TRUE)</f>
        <v>Rookie 4</v>
      </c>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row>
    <row r="116" spans="1:46" x14ac:dyDescent="0.25">
      <c r="A116" s="22">
        <v>115</v>
      </c>
      <c r="B116" s="13"/>
      <c r="C116" s="14"/>
      <c r="D116" s="15"/>
      <c r="E116" s="35">
        <f t="shared" si="1"/>
        <v>0</v>
      </c>
      <c r="F116" s="44" t="str">
        <f>VLOOKUP(E116, 'Rank Data'!$A$1:$B$25, 2, TRUE)</f>
        <v>Rookie 4</v>
      </c>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row>
    <row r="117" spans="1:46" x14ac:dyDescent="0.25">
      <c r="A117" s="22">
        <v>116</v>
      </c>
      <c r="B117" s="13"/>
      <c r="C117" s="14"/>
      <c r="D117" s="15"/>
      <c r="E117" s="35">
        <f t="shared" si="1"/>
        <v>0</v>
      </c>
      <c r="F117" s="44" t="str">
        <f>VLOOKUP(E117, 'Rank Data'!$A$1:$B$25, 2, TRUE)</f>
        <v>Rookie 4</v>
      </c>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row>
    <row r="118" spans="1:46" x14ac:dyDescent="0.25">
      <c r="A118" s="22">
        <v>117</v>
      </c>
      <c r="B118" s="13"/>
      <c r="C118" s="14"/>
      <c r="D118" s="15"/>
      <c r="E118" s="35">
        <f t="shared" si="1"/>
        <v>0</v>
      </c>
      <c r="F118" s="44" t="str">
        <f>VLOOKUP(E118, 'Rank Data'!$A$1:$B$25, 2, TRUE)</f>
        <v>Rookie 4</v>
      </c>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row>
    <row r="119" spans="1:46" x14ac:dyDescent="0.25">
      <c r="A119" s="22">
        <v>118</v>
      </c>
      <c r="B119" s="13"/>
      <c r="C119" s="14"/>
      <c r="D119" s="15"/>
      <c r="E119" s="35">
        <f t="shared" si="1"/>
        <v>0</v>
      </c>
      <c r="F119" s="44" t="str">
        <f>VLOOKUP(E119, 'Rank Data'!$A$1:$B$25, 2, TRUE)</f>
        <v>Rookie 4</v>
      </c>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row>
    <row r="120" spans="1:46" x14ac:dyDescent="0.25">
      <c r="A120" s="22">
        <v>119</v>
      </c>
      <c r="B120" s="13"/>
      <c r="C120" s="14"/>
      <c r="D120" s="15"/>
      <c r="E120" s="35">
        <f t="shared" si="1"/>
        <v>0</v>
      </c>
      <c r="F120" s="44" t="str">
        <f>VLOOKUP(E120, 'Rank Data'!$A$1:$B$25, 2, TRUE)</f>
        <v>Rookie 4</v>
      </c>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row>
    <row r="121" spans="1:46" x14ac:dyDescent="0.25">
      <c r="A121" s="22">
        <v>120</v>
      </c>
      <c r="B121" s="13"/>
      <c r="C121" s="14"/>
      <c r="D121" s="15"/>
      <c r="E121" s="35">
        <f t="shared" si="1"/>
        <v>0</v>
      </c>
      <c r="F121" s="44" t="str">
        <f>VLOOKUP(E121, 'Rank Data'!$A$1:$B$25, 2, TRUE)</f>
        <v>Rookie 4</v>
      </c>
      <c r="G121" s="24"/>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row>
    <row r="122" spans="1:46" x14ac:dyDescent="0.25">
      <c r="A122" s="22">
        <v>121</v>
      </c>
      <c r="B122" s="13"/>
      <c r="C122" s="14"/>
      <c r="D122" s="15"/>
      <c r="E122" s="35">
        <f t="shared" si="1"/>
        <v>0</v>
      </c>
      <c r="F122" s="44" t="str">
        <f>VLOOKUP(E122, 'Rank Data'!$A$1:$B$25, 2, TRUE)</f>
        <v>Rookie 4</v>
      </c>
      <c r="G122" s="24"/>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row>
    <row r="123" spans="1:46" x14ac:dyDescent="0.25">
      <c r="A123" s="22">
        <v>122</v>
      </c>
      <c r="B123" s="13"/>
      <c r="C123" s="14"/>
      <c r="D123" s="15"/>
      <c r="E123" s="35">
        <f t="shared" si="1"/>
        <v>0</v>
      </c>
      <c r="F123" s="44" t="str">
        <f>VLOOKUP(E123, 'Rank Data'!$A$1:$B$25, 2, TRUE)</f>
        <v>Rookie 4</v>
      </c>
      <c r="G123" s="24"/>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row>
    <row r="124" spans="1:46" x14ac:dyDescent="0.25">
      <c r="A124" s="22">
        <v>123</v>
      </c>
      <c r="B124" s="13"/>
      <c r="C124" s="14"/>
      <c r="D124" s="15"/>
      <c r="E124" s="35">
        <f t="shared" si="1"/>
        <v>0</v>
      </c>
      <c r="F124" s="44" t="str">
        <f>VLOOKUP(E124, 'Rank Data'!$A$1:$B$25, 2, TRUE)</f>
        <v>Rookie 4</v>
      </c>
      <c r="G124" s="24"/>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row>
    <row r="125" spans="1:46" x14ac:dyDescent="0.25">
      <c r="A125" s="22">
        <v>124</v>
      </c>
      <c r="B125" s="13"/>
      <c r="C125" s="14"/>
      <c r="D125" s="15"/>
      <c r="E125" s="35">
        <f t="shared" si="1"/>
        <v>0</v>
      </c>
      <c r="F125" s="44" t="str">
        <f>VLOOKUP(E125, 'Rank Data'!$A$1:$B$25, 2, TRUE)</f>
        <v>Rookie 4</v>
      </c>
      <c r="G125" s="24"/>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row>
    <row r="126" spans="1:46" x14ac:dyDescent="0.25">
      <c r="A126" s="22">
        <v>125</v>
      </c>
      <c r="B126" s="13"/>
      <c r="C126" s="14"/>
      <c r="D126" s="15"/>
      <c r="E126" s="35">
        <f t="shared" si="1"/>
        <v>0</v>
      </c>
      <c r="F126" s="44" t="str">
        <f>VLOOKUP(E126, 'Rank Data'!$A$1:$B$25, 2, TRUE)</f>
        <v>Rookie 4</v>
      </c>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row>
    <row r="127" spans="1:46" x14ac:dyDescent="0.25">
      <c r="A127" s="22">
        <v>126</v>
      </c>
      <c r="B127" s="13"/>
      <c r="C127" s="14"/>
      <c r="D127" s="15"/>
      <c r="E127" s="35">
        <f t="shared" si="1"/>
        <v>0</v>
      </c>
      <c r="F127" s="44" t="str">
        <f>VLOOKUP(E127, 'Rank Data'!$A$1:$B$25, 2, TRUE)</f>
        <v>Rookie 4</v>
      </c>
      <c r="G127" s="24"/>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row>
    <row r="128" spans="1:46" x14ac:dyDescent="0.25">
      <c r="A128" s="22">
        <v>127</v>
      </c>
      <c r="B128" s="13"/>
      <c r="C128" s="14"/>
      <c r="D128" s="15"/>
      <c r="E128" s="35">
        <f t="shared" si="1"/>
        <v>0</v>
      </c>
      <c r="F128" s="44" t="str">
        <f>VLOOKUP(E128, 'Rank Data'!$A$1:$B$25, 2, TRUE)</f>
        <v>Rookie 4</v>
      </c>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row>
    <row r="129" spans="1:46" x14ac:dyDescent="0.25">
      <c r="A129" s="22">
        <v>128</v>
      </c>
      <c r="B129" s="13"/>
      <c r="C129" s="14"/>
      <c r="D129" s="15"/>
      <c r="E129" s="35">
        <f t="shared" si="1"/>
        <v>0</v>
      </c>
      <c r="F129" s="44" t="str">
        <f>VLOOKUP(E129, 'Rank Data'!$A$1:$B$25, 2, TRUE)</f>
        <v>Rookie 4</v>
      </c>
      <c r="G129" s="24"/>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row>
    <row r="130" spans="1:46" x14ac:dyDescent="0.25">
      <c r="A130" s="22">
        <v>129</v>
      </c>
      <c r="B130" s="13"/>
      <c r="C130" s="14"/>
      <c r="D130" s="15"/>
      <c r="E130" s="35">
        <f t="shared" si="1"/>
        <v>0</v>
      </c>
      <c r="F130" s="44" t="str">
        <f>VLOOKUP(E130, 'Rank Data'!$A$1:$B$25, 2, TRUE)</f>
        <v>Rookie 4</v>
      </c>
      <c r="G130" s="24"/>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row>
    <row r="131" spans="1:46" x14ac:dyDescent="0.25">
      <c r="A131" s="22">
        <v>130</v>
      </c>
      <c r="B131" s="13"/>
      <c r="C131" s="14"/>
      <c r="D131" s="15"/>
      <c r="E131" s="35">
        <f t="shared" si="1"/>
        <v>0</v>
      </c>
      <c r="F131" s="44" t="str">
        <f>VLOOKUP(E131, 'Rank Data'!$A$1:$B$25, 2, TRUE)</f>
        <v>Rookie 4</v>
      </c>
      <c r="G131" s="24"/>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row>
    <row r="132" spans="1:46" x14ac:dyDescent="0.25">
      <c r="A132" s="22">
        <v>131</v>
      </c>
      <c r="B132" s="13"/>
      <c r="C132" s="14"/>
      <c r="D132" s="15"/>
      <c r="E132" s="35">
        <f t="shared" si="1"/>
        <v>0</v>
      </c>
      <c r="F132" s="44" t="str">
        <f>VLOOKUP(E132, 'Rank Data'!$A$1:$B$25, 2, TRUE)</f>
        <v>Rookie 4</v>
      </c>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row>
    <row r="133" spans="1:46" x14ac:dyDescent="0.25">
      <c r="A133" s="22">
        <v>132</v>
      </c>
      <c r="B133" s="13"/>
      <c r="C133" s="14"/>
      <c r="D133" s="15"/>
      <c r="E133" s="35">
        <f t="shared" ref="E133:E196" si="2">SUM(E132,D132)</f>
        <v>0</v>
      </c>
      <c r="F133" s="44" t="str">
        <f>VLOOKUP(E133, 'Rank Data'!$A$1:$B$25, 2, TRUE)</f>
        <v>Rookie 4</v>
      </c>
      <c r="G133" s="24"/>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row>
    <row r="134" spans="1:46" x14ac:dyDescent="0.25">
      <c r="A134" s="22">
        <v>133</v>
      </c>
      <c r="B134" s="13"/>
      <c r="C134" s="14"/>
      <c r="D134" s="15"/>
      <c r="E134" s="35">
        <f t="shared" si="2"/>
        <v>0</v>
      </c>
      <c r="F134" s="44" t="str">
        <f>VLOOKUP(E134, 'Rank Data'!$A$1:$B$25, 2, TRUE)</f>
        <v>Rookie 4</v>
      </c>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row>
    <row r="135" spans="1:46" x14ac:dyDescent="0.25">
      <c r="A135" s="22">
        <v>134</v>
      </c>
      <c r="B135" s="13"/>
      <c r="C135" s="14"/>
      <c r="D135" s="15"/>
      <c r="E135" s="35">
        <f t="shared" si="2"/>
        <v>0</v>
      </c>
      <c r="F135" s="44" t="str">
        <f>VLOOKUP(E135, 'Rank Data'!$A$1:$B$25, 2, TRUE)</f>
        <v>Rookie 4</v>
      </c>
      <c r="G135" s="24"/>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row>
    <row r="136" spans="1:46" x14ac:dyDescent="0.25">
      <c r="A136" s="22">
        <v>135</v>
      </c>
      <c r="B136" s="13"/>
      <c r="C136" s="14"/>
      <c r="D136" s="15"/>
      <c r="E136" s="35">
        <f t="shared" si="2"/>
        <v>0</v>
      </c>
      <c r="F136" s="44" t="str">
        <f>VLOOKUP(E136, 'Rank Data'!$A$1:$B$25, 2, TRUE)</f>
        <v>Rookie 4</v>
      </c>
      <c r="G136" s="24"/>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row>
    <row r="137" spans="1:46" x14ac:dyDescent="0.25">
      <c r="A137" s="22">
        <v>136</v>
      </c>
      <c r="B137" s="13"/>
      <c r="C137" s="14"/>
      <c r="D137" s="15"/>
      <c r="E137" s="35">
        <f t="shared" si="2"/>
        <v>0</v>
      </c>
      <c r="F137" s="44" t="str">
        <f>VLOOKUP(E137, 'Rank Data'!$A$1:$B$25, 2, TRUE)</f>
        <v>Rookie 4</v>
      </c>
      <c r="G137" s="24"/>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row>
    <row r="138" spans="1:46" x14ac:dyDescent="0.25">
      <c r="A138" s="22">
        <v>137</v>
      </c>
      <c r="B138" s="13"/>
      <c r="C138" s="14"/>
      <c r="D138" s="15"/>
      <c r="E138" s="35">
        <f t="shared" si="2"/>
        <v>0</v>
      </c>
      <c r="F138" s="44" t="str">
        <f>VLOOKUP(E138, 'Rank Data'!$A$1:$B$25, 2, TRUE)</f>
        <v>Rookie 4</v>
      </c>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row>
    <row r="139" spans="1:46" x14ac:dyDescent="0.25">
      <c r="A139" s="22">
        <v>138</v>
      </c>
      <c r="B139" s="13"/>
      <c r="C139" s="14"/>
      <c r="D139" s="15"/>
      <c r="E139" s="35">
        <f t="shared" si="2"/>
        <v>0</v>
      </c>
      <c r="F139" s="44" t="str">
        <f>VLOOKUP(E139, 'Rank Data'!$A$1:$B$25, 2, TRUE)</f>
        <v>Rookie 4</v>
      </c>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row>
    <row r="140" spans="1:46" x14ac:dyDescent="0.25">
      <c r="A140" s="22">
        <v>139</v>
      </c>
      <c r="B140" s="13"/>
      <c r="C140" s="14"/>
      <c r="D140" s="15"/>
      <c r="E140" s="35">
        <f t="shared" si="2"/>
        <v>0</v>
      </c>
      <c r="F140" s="44" t="str">
        <f>VLOOKUP(E140, 'Rank Data'!$A$1:$B$25, 2, TRUE)</f>
        <v>Rookie 4</v>
      </c>
      <c r="G140" s="24"/>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row>
    <row r="141" spans="1:46" x14ac:dyDescent="0.25">
      <c r="A141" s="22">
        <v>140</v>
      </c>
      <c r="B141" s="13"/>
      <c r="C141" s="14"/>
      <c r="D141" s="15"/>
      <c r="E141" s="35">
        <f t="shared" si="2"/>
        <v>0</v>
      </c>
      <c r="F141" s="44" t="str">
        <f>VLOOKUP(E141, 'Rank Data'!$A$1:$B$25, 2, TRUE)</f>
        <v>Rookie 4</v>
      </c>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row>
    <row r="142" spans="1:46" x14ac:dyDescent="0.25">
      <c r="A142" s="22">
        <v>141</v>
      </c>
      <c r="B142" s="13"/>
      <c r="C142" s="14"/>
      <c r="D142" s="15"/>
      <c r="E142" s="35">
        <f t="shared" si="2"/>
        <v>0</v>
      </c>
      <c r="F142" s="44" t="str">
        <f>VLOOKUP(E142, 'Rank Data'!$A$1:$B$25, 2, TRUE)</f>
        <v>Rookie 4</v>
      </c>
      <c r="G142" s="24"/>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row>
    <row r="143" spans="1:46" x14ac:dyDescent="0.25">
      <c r="A143" s="22">
        <v>142</v>
      </c>
      <c r="B143" s="13"/>
      <c r="C143" s="14"/>
      <c r="D143" s="15"/>
      <c r="E143" s="35">
        <f t="shared" si="2"/>
        <v>0</v>
      </c>
      <c r="F143" s="44" t="str">
        <f>VLOOKUP(E143, 'Rank Data'!$A$1:$B$25, 2, TRUE)</f>
        <v>Rookie 4</v>
      </c>
      <c r="G143" s="24"/>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row>
    <row r="144" spans="1:46" x14ac:dyDescent="0.25">
      <c r="A144" s="22">
        <v>143</v>
      </c>
      <c r="B144" s="13"/>
      <c r="C144" s="14"/>
      <c r="D144" s="15"/>
      <c r="E144" s="35">
        <f t="shared" si="2"/>
        <v>0</v>
      </c>
      <c r="F144" s="44" t="str">
        <f>VLOOKUP(E144, 'Rank Data'!$A$1:$B$25, 2, TRUE)</f>
        <v>Rookie 4</v>
      </c>
      <c r="G144" s="24"/>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row>
    <row r="145" spans="1:46" x14ac:dyDescent="0.25">
      <c r="A145" s="22">
        <v>144</v>
      </c>
      <c r="B145" s="13"/>
      <c r="C145" s="14"/>
      <c r="D145" s="15"/>
      <c r="E145" s="35">
        <f t="shared" si="2"/>
        <v>0</v>
      </c>
      <c r="F145" s="44" t="str">
        <f>VLOOKUP(E145, 'Rank Data'!$A$1:$B$25, 2, TRUE)</f>
        <v>Rookie 4</v>
      </c>
      <c r="G145" s="24"/>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row>
    <row r="146" spans="1:46" x14ac:dyDescent="0.25">
      <c r="A146" s="22">
        <v>145</v>
      </c>
      <c r="B146" s="13"/>
      <c r="C146" s="14"/>
      <c r="D146" s="15"/>
      <c r="E146" s="35">
        <f t="shared" si="2"/>
        <v>0</v>
      </c>
      <c r="F146" s="44" t="str">
        <f>VLOOKUP(E146, 'Rank Data'!$A$1:$B$25, 2, TRUE)</f>
        <v>Rookie 4</v>
      </c>
      <c r="G146" s="24"/>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row>
    <row r="147" spans="1:46" x14ac:dyDescent="0.25">
      <c r="A147" s="22">
        <v>146</v>
      </c>
      <c r="B147" s="13"/>
      <c r="C147" s="14"/>
      <c r="D147" s="15"/>
      <c r="E147" s="35">
        <f t="shared" si="2"/>
        <v>0</v>
      </c>
      <c r="F147" s="44" t="str">
        <f>VLOOKUP(E147, 'Rank Data'!$A$1:$B$25, 2, TRUE)</f>
        <v>Rookie 4</v>
      </c>
      <c r="G147" s="24"/>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row>
    <row r="148" spans="1:46" x14ac:dyDescent="0.25">
      <c r="A148" s="22">
        <v>147</v>
      </c>
      <c r="B148" s="13"/>
      <c r="C148" s="14"/>
      <c r="D148" s="15"/>
      <c r="E148" s="35">
        <f t="shared" si="2"/>
        <v>0</v>
      </c>
      <c r="F148" s="44" t="str">
        <f>VLOOKUP(E148, 'Rank Data'!$A$1:$B$25, 2, TRUE)</f>
        <v>Rookie 4</v>
      </c>
      <c r="G148" s="24"/>
      <c r="H148" s="24"/>
      <c r="I148" s="24"/>
      <c r="J148" s="24"/>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row>
    <row r="149" spans="1:46" x14ac:dyDescent="0.25">
      <c r="A149" s="22">
        <v>148</v>
      </c>
      <c r="B149" s="13"/>
      <c r="C149" s="14"/>
      <c r="D149" s="15"/>
      <c r="E149" s="35">
        <f t="shared" si="2"/>
        <v>0</v>
      </c>
      <c r="F149" s="44" t="str">
        <f>VLOOKUP(E149, 'Rank Data'!$A$1:$B$25, 2, TRUE)</f>
        <v>Rookie 4</v>
      </c>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row>
    <row r="150" spans="1:46" x14ac:dyDescent="0.25">
      <c r="A150" s="22">
        <v>149</v>
      </c>
      <c r="B150" s="13"/>
      <c r="C150" s="14"/>
      <c r="D150" s="15"/>
      <c r="E150" s="35">
        <f t="shared" si="2"/>
        <v>0</v>
      </c>
      <c r="F150" s="44" t="str">
        <f>VLOOKUP(E150, 'Rank Data'!$A$1:$B$25, 2, TRUE)</f>
        <v>Rookie 4</v>
      </c>
      <c r="G150" s="24"/>
      <c r="H150" s="24"/>
      <c r="I150" s="24"/>
      <c r="J150" s="24"/>
      <c r="K150" s="24"/>
      <c r="L150" s="24"/>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row>
    <row r="151" spans="1:46" x14ac:dyDescent="0.25">
      <c r="A151" s="22">
        <v>150</v>
      </c>
      <c r="B151" s="13"/>
      <c r="C151" s="14"/>
      <c r="D151" s="15"/>
      <c r="E151" s="35">
        <f t="shared" si="2"/>
        <v>0</v>
      </c>
      <c r="F151" s="44" t="str">
        <f>VLOOKUP(E151, 'Rank Data'!$A$1:$B$25, 2, TRUE)</f>
        <v>Rookie 4</v>
      </c>
      <c r="G151" s="24"/>
      <c r="H151" s="24"/>
      <c r="I151" s="24"/>
      <c r="J151" s="24"/>
      <c r="K151" s="24"/>
      <c r="L151" s="24"/>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row>
    <row r="152" spans="1:46" x14ac:dyDescent="0.25">
      <c r="A152" s="22">
        <v>151</v>
      </c>
      <c r="B152" s="13"/>
      <c r="C152" s="14"/>
      <c r="D152" s="15"/>
      <c r="E152" s="35">
        <f t="shared" si="2"/>
        <v>0</v>
      </c>
      <c r="F152" s="44" t="str">
        <f>VLOOKUP(E152, 'Rank Data'!$A$1:$B$25, 2, TRUE)</f>
        <v>Rookie 4</v>
      </c>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row>
    <row r="153" spans="1:46" x14ac:dyDescent="0.25">
      <c r="A153" s="22">
        <v>152</v>
      </c>
      <c r="B153" s="13"/>
      <c r="C153" s="14"/>
      <c r="D153" s="15"/>
      <c r="E153" s="35">
        <f t="shared" si="2"/>
        <v>0</v>
      </c>
      <c r="F153" s="44" t="str">
        <f>VLOOKUP(E153, 'Rank Data'!$A$1:$B$25, 2, TRUE)</f>
        <v>Rookie 4</v>
      </c>
      <c r="G153" s="24"/>
      <c r="H153" s="24"/>
      <c r="I153" s="24"/>
      <c r="J153" s="24"/>
      <c r="K153" s="24"/>
      <c r="L153" s="24"/>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row>
    <row r="154" spans="1:46" x14ac:dyDescent="0.25">
      <c r="A154" s="22">
        <v>153</v>
      </c>
      <c r="B154" s="13"/>
      <c r="C154" s="14"/>
      <c r="D154" s="15"/>
      <c r="E154" s="35">
        <f t="shared" si="2"/>
        <v>0</v>
      </c>
      <c r="F154" s="44" t="str">
        <f>VLOOKUP(E154, 'Rank Data'!$A$1:$B$25, 2, TRUE)</f>
        <v>Rookie 4</v>
      </c>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row>
    <row r="155" spans="1:46" x14ac:dyDescent="0.25">
      <c r="A155" s="22">
        <v>154</v>
      </c>
      <c r="B155" s="13"/>
      <c r="C155" s="14"/>
      <c r="D155" s="15"/>
      <c r="E155" s="35">
        <f t="shared" si="2"/>
        <v>0</v>
      </c>
      <c r="F155" s="44" t="str">
        <f>VLOOKUP(E155, 'Rank Data'!$A$1:$B$25, 2, TRUE)</f>
        <v>Rookie 4</v>
      </c>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row>
    <row r="156" spans="1:46" x14ac:dyDescent="0.25">
      <c r="A156" s="22">
        <v>155</v>
      </c>
      <c r="B156" s="13"/>
      <c r="C156" s="14"/>
      <c r="D156" s="15"/>
      <c r="E156" s="35">
        <f t="shared" si="2"/>
        <v>0</v>
      </c>
      <c r="F156" s="44" t="str">
        <f>VLOOKUP(E156, 'Rank Data'!$A$1:$B$25, 2, TRUE)</f>
        <v>Rookie 4</v>
      </c>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row>
    <row r="157" spans="1:46" x14ac:dyDescent="0.25">
      <c r="A157" s="22">
        <v>156</v>
      </c>
      <c r="B157" s="13"/>
      <c r="C157" s="14"/>
      <c r="D157" s="15"/>
      <c r="E157" s="35">
        <f t="shared" si="2"/>
        <v>0</v>
      </c>
      <c r="F157" s="44" t="str">
        <f>VLOOKUP(E157, 'Rank Data'!$A$1:$B$25, 2, TRUE)</f>
        <v>Rookie 4</v>
      </c>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row>
    <row r="158" spans="1:46" x14ac:dyDescent="0.25">
      <c r="A158" s="22">
        <v>157</v>
      </c>
      <c r="B158" s="13"/>
      <c r="C158" s="14"/>
      <c r="D158" s="15"/>
      <c r="E158" s="35">
        <f t="shared" si="2"/>
        <v>0</v>
      </c>
      <c r="F158" s="44" t="str">
        <f>VLOOKUP(E158, 'Rank Data'!$A$1:$B$25, 2, TRUE)</f>
        <v>Rookie 4</v>
      </c>
      <c r="G158" s="24"/>
      <c r="H158" s="24"/>
      <c r="I158" s="24"/>
      <c r="J158" s="24"/>
      <c r="K158" s="24"/>
      <c r="L158" s="24"/>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row>
    <row r="159" spans="1:46" x14ac:dyDescent="0.25">
      <c r="A159" s="22">
        <v>158</v>
      </c>
      <c r="B159" s="13"/>
      <c r="C159" s="14"/>
      <c r="D159" s="15"/>
      <c r="E159" s="35">
        <f t="shared" si="2"/>
        <v>0</v>
      </c>
      <c r="F159" s="44" t="str">
        <f>VLOOKUP(E159, 'Rank Data'!$A$1:$B$25, 2, TRUE)</f>
        <v>Rookie 4</v>
      </c>
      <c r="G159" s="24"/>
      <c r="H159" s="24"/>
      <c r="I159" s="24"/>
      <c r="J159" s="24"/>
      <c r="K159" s="24"/>
      <c r="L159" s="24"/>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row>
    <row r="160" spans="1:46" x14ac:dyDescent="0.25">
      <c r="A160" s="22">
        <v>159</v>
      </c>
      <c r="B160" s="13"/>
      <c r="C160" s="14"/>
      <c r="D160" s="15"/>
      <c r="E160" s="35">
        <f t="shared" si="2"/>
        <v>0</v>
      </c>
      <c r="F160" s="44" t="str">
        <f>VLOOKUP(E160, 'Rank Data'!$A$1:$B$25, 2, TRUE)</f>
        <v>Rookie 4</v>
      </c>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row>
    <row r="161" spans="1:46" x14ac:dyDescent="0.25">
      <c r="A161" s="22">
        <v>160</v>
      </c>
      <c r="B161" s="13"/>
      <c r="C161" s="14"/>
      <c r="D161" s="15"/>
      <c r="E161" s="35">
        <f t="shared" si="2"/>
        <v>0</v>
      </c>
      <c r="F161" s="44" t="str">
        <f>VLOOKUP(E161, 'Rank Data'!$A$1:$B$25, 2, TRUE)</f>
        <v>Rookie 4</v>
      </c>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row>
    <row r="162" spans="1:46" x14ac:dyDescent="0.25">
      <c r="A162" s="22">
        <v>161</v>
      </c>
      <c r="B162" s="13"/>
      <c r="C162" s="14"/>
      <c r="D162" s="15"/>
      <c r="E162" s="35">
        <f t="shared" si="2"/>
        <v>0</v>
      </c>
      <c r="F162" s="44" t="str">
        <f>VLOOKUP(E162, 'Rank Data'!$A$1:$B$25, 2, TRUE)</f>
        <v>Rookie 4</v>
      </c>
      <c r="G162" s="24"/>
      <c r="H162" s="24"/>
      <c r="I162" s="24"/>
      <c r="J162" s="24"/>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row>
    <row r="163" spans="1:46" x14ac:dyDescent="0.25">
      <c r="A163" s="22">
        <v>162</v>
      </c>
      <c r="B163" s="13"/>
      <c r="C163" s="14"/>
      <c r="D163" s="15"/>
      <c r="E163" s="35">
        <f t="shared" si="2"/>
        <v>0</v>
      </c>
      <c r="F163" s="44" t="str">
        <f>VLOOKUP(E163, 'Rank Data'!$A$1:$B$25, 2, TRUE)</f>
        <v>Rookie 4</v>
      </c>
      <c r="G163" s="24"/>
      <c r="H163" s="24"/>
      <c r="I163" s="24"/>
      <c r="J163" s="24"/>
      <c r="K163" s="24"/>
      <c r="L163" s="24"/>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row>
    <row r="164" spans="1:46" x14ac:dyDescent="0.25">
      <c r="A164" s="22">
        <v>163</v>
      </c>
      <c r="B164" s="13"/>
      <c r="C164" s="14"/>
      <c r="D164" s="15"/>
      <c r="E164" s="35">
        <f t="shared" si="2"/>
        <v>0</v>
      </c>
      <c r="F164" s="44" t="str">
        <f>VLOOKUP(E164, 'Rank Data'!$A$1:$B$25, 2, TRUE)</f>
        <v>Rookie 4</v>
      </c>
      <c r="G164" s="24"/>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row>
    <row r="165" spans="1:46" x14ac:dyDescent="0.25">
      <c r="A165" s="22">
        <v>164</v>
      </c>
      <c r="B165" s="13"/>
      <c r="C165" s="14"/>
      <c r="D165" s="15"/>
      <c r="E165" s="35">
        <f t="shared" si="2"/>
        <v>0</v>
      </c>
      <c r="F165" s="44" t="str">
        <f>VLOOKUP(E165, 'Rank Data'!$A$1:$B$25, 2, TRUE)</f>
        <v>Rookie 4</v>
      </c>
      <c r="G165" s="24"/>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row>
    <row r="166" spans="1:46" x14ac:dyDescent="0.25">
      <c r="A166" s="22">
        <v>165</v>
      </c>
      <c r="B166" s="13"/>
      <c r="C166" s="14"/>
      <c r="D166" s="15"/>
      <c r="E166" s="35">
        <f t="shared" si="2"/>
        <v>0</v>
      </c>
      <c r="F166" s="44" t="str">
        <f>VLOOKUP(E166, 'Rank Data'!$A$1:$B$25, 2, TRUE)</f>
        <v>Rookie 4</v>
      </c>
      <c r="G166" s="24"/>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row>
    <row r="167" spans="1:46" x14ac:dyDescent="0.25">
      <c r="A167" s="22">
        <v>166</v>
      </c>
      <c r="B167" s="13"/>
      <c r="C167" s="14"/>
      <c r="D167" s="15"/>
      <c r="E167" s="35">
        <f t="shared" si="2"/>
        <v>0</v>
      </c>
      <c r="F167" s="44" t="str">
        <f>VLOOKUP(E167, 'Rank Data'!$A$1:$B$25, 2, TRUE)</f>
        <v>Rookie 4</v>
      </c>
      <c r="G167" s="24"/>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row>
    <row r="168" spans="1:46" x14ac:dyDescent="0.25">
      <c r="A168" s="22">
        <v>167</v>
      </c>
      <c r="B168" s="13"/>
      <c r="C168" s="14"/>
      <c r="D168" s="15"/>
      <c r="E168" s="35">
        <f t="shared" si="2"/>
        <v>0</v>
      </c>
      <c r="F168" s="44" t="str">
        <f>VLOOKUP(E168, 'Rank Data'!$A$1:$B$25, 2, TRUE)</f>
        <v>Rookie 4</v>
      </c>
      <c r="G168" s="24"/>
      <c r="H168" s="24"/>
      <c r="I168" s="24"/>
      <c r="J168" s="24"/>
      <c r="K168" s="24"/>
      <c r="L168" s="24"/>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row>
    <row r="169" spans="1:46" x14ac:dyDescent="0.25">
      <c r="A169" s="22">
        <v>168</v>
      </c>
      <c r="B169" s="13"/>
      <c r="C169" s="14"/>
      <c r="D169" s="15"/>
      <c r="E169" s="35">
        <f t="shared" si="2"/>
        <v>0</v>
      </c>
      <c r="F169" s="44" t="str">
        <f>VLOOKUP(E169, 'Rank Data'!$A$1:$B$25, 2, TRUE)</f>
        <v>Rookie 4</v>
      </c>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row>
    <row r="170" spans="1:46" x14ac:dyDescent="0.25">
      <c r="A170" s="22">
        <v>169</v>
      </c>
      <c r="B170" s="13"/>
      <c r="C170" s="14"/>
      <c r="D170" s="15"/>
      <c r="E170" s="35">
        <f t="shared" si="2"/>
        <v>0</v>
      </c>
      <c r="F170" s="44" t="str">
        <f>VLOOKUP(E170, 'Rank Data'!$A$1:$B$25, 2, TRUE)</f>
        <v>Rookie 4</v>
      </c>
      <c r="G170" s="24"/>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row>
    <row r="171" spans="1:46" x14ac:dyDescent="0.25">
      <c r="A171" s="22">
        <v>170</v>
      </c>
      <c r="B171" s="13"/>
      <c r="C171" s="14"/>
      <c r="D171" s="15"/>
      <c r="E171" s="35">
        <f t="shared" si="2"/>
        <v>0</v>
      </c>
      <c r="F171" s="44" t="str">
        <f>VLOOKUP(E171, 'Rank Data'!$A$1:$B$25, 2, TRUE)</f>
        <v>Rookie 4</v>
      </c>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row>
    <row r="172" spans="1:46" x14ac:dyDescent="0.25">
      <c r="A172" s="22">
        <v>171</v>
      </c>
      <c r="B172" s="13"/>
      <c r="C172" s="14"/>
      <c r="D172" s="15"/>
      <c r="E172" s="35">
        <f t="shared" si="2"/>
        <v>0</v>
      </c>
      <c r="F172" s="44" t="str">
        <f>VLOOKUP(E172, 'Rank Data'!$A$1:$B$25, 2, TRUE)</f>
        <v>Rookie 4</v>
      </c>
      <c r="G172" s="24"/>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row>
    <row r="173" spans="1:46" x14ac:dyDescent="0.25">
      <c r="A173" s="22">
        <v>172</v>
      </c>
      <c r="B173" s="13"/>
      <c r="C173" s="14"/>
      <c r="D173" s="15"/>
      <c r="E173" s="35">
        <f t="shared" si="2"/>
        <v>0</v>
      </c>
      <c r="F173" s="44" t="str">
        <f>VLOOKUP(E173, 'Rank Data'!$A$1:$B$25, 2, TRUE)</f>
        <v>Rookie 4</v>
      </c>
      <c r="G173" s="24"/>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row>
    <row r="174" spans="1:46" x14ac:dyDescent="0.25">
      <c r="A174" s="22">
        <v>173</v>
      </c>
      <c r="B174" s="13"/>
      <c r="C174" s="14"/>
      <c r="D174" s="15"/>
      <c r="E174" s="35">
        <f t="shared" si="2"/>
        <v>0</v>
      </c>
      <c r="F174" s="44" t="str">
        <f>VLOOKUP(E174, 'Rank Data'!$A$1:$B$25, 2, TRUE)</f>
        <v>Rookie 4</v>
      </c>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row>
    <row r="175" spans="1:46" x14ac:dyDescent="0.25">
      <c r="A175" s="22">
        <v>174</v>
      </c>
      <c r="B175" s="13"/>
      <c r="C175" s="14"/>
      <c r="D175" s="15"/>
      <c r="E175" s="35">
        <f t="shared" si="2"/>
        <v>0</v>
      </c>
      <c r="F175" s="44" t="str">
        <f>VLOOKUP(E175, 'Rank Data'!$A$1:$B$25, 2, TRUE)</f>
        <v>Rookie 4</v>
      </c>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row>
    <row r="176" spans="1:46" x14ac:dyDescent="0.25">
      <c r="A176" s="22">
        <v>175</v>
      </c>
      <c r="B176" s="13"/>
      <c r="C176" s="14"/>
      <c r="D176" s="15"/>
      <c r="E176" s="35">
        <f t="shared" si="2"/>
        <v>0</v>
      </c>
      <c r="F176" s="44" t="str">
        <f>VLOOKUP(E176, 'Rank Data'!$A$1:$B$25, 2, TRUE)</f>
        <v>Rookie 4</v>
      </c>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row>
    <row r="177" spans="1:46" x14ac:dyDescent="0.25">
      <c r="A177" s="22">
        <v>176</v>
      </c>
      <c r="B177" s="13"/>
      <c r="C177" s="14"/>
      <c r="D177" s="15"/>
      <c r="E177" s="35">
        <f t="shared" si="2"/>
        <v>0</v>
      </c>
      <c r="F177" s="44" t="str">
        <f>VLOOKUP(E177, 'Rank Data'!$A$1:$B$25, 2, TRUE)</f>
        <v>Rookie 4</v>
      </c>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row>
    <row r="178" spans="1:46" x14ac:dyDescent="0.25">
      <c r="A178" s="22">
        <v>177</v>
      </c>
      <c r="B178" s="13"/>
      <c r="C178" s="14"/>
      <c r="D178" s="15"/>
      <c r="E178" s="35">
        <f t="shared" si="2"/>
        <v>0</v>
      </c>
      <c r="F178" s="44" t="str">
        <f>VLOOKUP(E178, 'Rank Data'!$A$1:$B$25, 2, TRUE)</f>
        <v>Rookie 4</v>
      </c>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row>
    <row r="179" spans="1:46" x14ac:dyDescent="0.25">
      <c r="A179" s="22">
        <v>178</v>
      </c>
      <c r="B179" s="13"/>
      <c r="C179" s="14"/>
      <c r="D179" s="15"/>
      <c r="E179" s="35">
        <f t="shared" si="2"/>
        <v>0</v>
      </c>
      <c r="F179" s="44" t="str">
        <f>VLOOKUP(E179, 'Rank Data'!$A$1:$B$25, 2, TRUE)</f>
        <v>Rookie 4</v>
      </c>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row>
    <row r="180" spans="1:46" x14ac:dyDescent="0.25">
      <c r="A180" s="22">
        <v>179</v>
      </c>
      <c r="B180" s="13"/>
      <c r="C180" s="14"/>
      <c r="D180" s="15"/>
      <c r="E180" s="35">
        <f t="shared" si="2"/>
        <v>0</v>
      </c>
      <c r="F180" s="44" t="str">
        <f>VLOOKUP(E180, 'Rank Data'!$A$1:$B$25, 2, TRUE)</f>
        <v>Rookie 4</v>
      </c>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row>
    <row r="181" spans="1:46" x14ac:dyDescent="0.25">
      <c r="A181" s="22">
        <v>180</v>
      </c>
      <c r="B181" s="13"/>
      <c r="C181" s="14"/>
      <c r="D181" s="15"/>
      <c r="E181" s="35">
        <f t="shared" si="2"/>
        <v>0</v>
      </c>
      <c r="F181" s="44" t="str">
        <f>VLOOKUP(E181, 'Rank Data'!$A$1:$B$25, 2, TRUE)</f>
        <v>Rookie 4</v>
      </c>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row>
    <row r="182" spans="1:46" x14ac:dyDescent="0.25">
      <c r="A182" s="22">
        <v>181</v>
      </c>
      <c r="B182" s="13"/>
      <c r="C182" s="14"/>
      <c r="D182" s="15"/>
      <c r="E182" s="35">
        <f t="shared" si="2"/>
        <v>0</v>
      </c>
      <c r="F182" s="44" t="str">
        <f>VLOOKUP(E182, 'Rank Data'!$A$1:$B$25, 2, TRUE)</f>
        <v>Rookie 4</v>
      </c>
      <c r="G182" s="24"/>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row>
    <row r="183" spans="1:46" x14ac:dyDescent="0.25">
      <c r="A183" s="22">
        <v>182</v>
      </c>
      <c r="B183" s="13"/>
      <c r="C183" s="14"/>
      <c r="D183" s="15"/>
      <c r="E183" s="35">
        <f t="shared" si="2"/>
        <v>0</v>
      </c>
      <c r="F183" s="44" t="str">
        <f>VLOOKUP(E183, 'Rank Data'!$A$1:$B$25, 2, TRUE)</f>
        <v>Rookie 4</v>
      </c>
      <c r="G183" s="24"/>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row>
    <row r="184" spans="1:46" x14ac:dyDescent="0.25">
      <c r="A184" s="22">
        <v>183</v>
      </c>
      <c r="B184" s="13"/>
      <c r="C184" s="14"/>
      <c r="D184" s="15"/>
      <c r="E184" s="35">
        <f t="shared" si="2"/>
        <v>0</v>
      </c>
      <c r="F184" s="44" t="str">
        <f>VLOOKUP(E184, 'Rank Data'!$A$1:$B$25, 2, TRUE)</f>
        <v>Rookie 4</v>
      </c>
      <c r="G184" s="24"/>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row>
    <row r="185" spans="1:46" x14ac:dyDescent="0.25">
      <c r="A185" s="22">
        <v>184</v>
      </c>
      <c r="B185" s="13"/>
      <c r="C185" s="14"/>
      <c r="D185" s="15"/>
      <c r="E185" s="35">
        <f t="shared" si="2"/>
        <v>0</v>
      </c>
      <c r="F185" s="44" t="str">
        <f>VLOOKUP(E185, 'Rank Data'!$A$1:$B$25, 2, TRUE)</f>
        <v>Rookie 4</v>
      </c>
      <c r="G185" s="24"/>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row>
    <row r="186" spans="1:46" x14ac:dyDescent="0.25">
      <c r="A186" s="22">
        <v>185</v>
      </c>
      <c r="B186" s="13"/>
      <c r="C186" s="14"/>
      <c r="D186" s="15"/>
      <c r="E186" s="35">
        <f t="shared" si="2"/>
        <v>0</v>
      </c>
      <c r="F186" s="44" t="str">
        <f>VLOOKUP(E186, 'Rank Data'!$A$1:$B$25, 2, TRUE)</f>
        <v>Rookie 4</v>
      </c>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row>
    <row r="187" spans="1:46" x14ac:dyDescent="0.25">
      <c r="A187" s="22">
        <v>186</v>
      </c>
      <c r="B187" s="13"/>
      <c r="C187" s="14"/>
      <c r="D187" s="15"/>
      <c r="E187" s="35">
        <f t="shared" si="2"/>
        <v>0</v>
      </c>
      <c r="F187" s="44" t="str">
        <f>VLOOKUP(E187, 'Rank Data'!$A$1:$B$25, 2, TRUE)</f>
        <v>Rookie 4</v>
      </c>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row>
    <row r="188" spans="1:46" x14ac:dyDescent="0.25">
      <c r="A188" s="22">
        <v>187</v>
      </c>
      <c r="B188" s="13"/>
      <c r="C188" s="14"/>
      <c r="D188" s="15"/>
      <c r="E188" s="35">
        <f t="shared" si="2"/>
        <v>0</v>
      </c>
      <c r="F188" s="44" t="str">
        <f>VLOOKUP(E188, 'Rank Data'!$A$1:$B$25, 2, TRUE)</f>
        <v>Rookie 4</v>
      </c>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row>
    <row r="189" spans="1:46" x14ac:dyDescent="0.25">
      <c r="A189" s="22">
        <v>188</v>
      </c>
      <c r="B189" s="13"/>
      <c r="C189" s="14"/>
      <c r="D189" s="15"/>
      <c r="E189" s="35">
        <f t="shared" si="2"/>
        <v>0</v>
      </c>
      <c r="F189" s="44" t="str">
        <f>VLOOKUP(E189, 'Rank Data'!$A$1:$B$25, 2, TRUE)</f>
        <v>Rookie 4</v>
      </c>
      <c r="G189" s="24"/>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row>
    <row r="190" spans="1:46" x14ac:dyDescent="0.25">
      <c r="A190" s="22">
        <v>189</v>
      </c>
      <c r="B190" s="13"/>
      <c r="C190" s="14"/>
      <c r="D190" s="15"/>
      <c r="E190" s="35">
        <f t="shared" si="2"/>
        <v>0</v>
      </c>
      <c r="F190" s="44" t="str">
        <f>VLOOKUP(E190, 'Rank Data'!$A$1:$B$25, 2, TRUE)</f>
        <v>Rookie 4</v>
      </c>
      <c r="G190" s="24"/>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row>
    <row r="191" spans="1:46" x14ac:dyDescent="0.25">
      <c r="A191" s="22">
        <v>190</v>
      </c>
      <c r="B191" s="13"/>
      <c r="C191" s="14"/>
      <c r="D191" s="15"/>
      <c r="E191" s="35">
        <f t="shared" si="2"/>
        <v>0</v>
      </c>
      <c r="F191" s="44" t="str">
        <f>VLOOKUP(E191, 'Rank Data'!$A$1:$B$25, 2, TRUE)</f>
        <v>Rookie 4</v>
      </c>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row>
    <row r="192" spans="1:46" x14ac:dyDescent="0.25">
      <c r="A192" s="22">
        <v>191</v>
      </c>
      <c r="B192" s="13"/>
      <c r="C192" s="14"/>
      <c r="D192" s="15"/>
      <c r="E192" s="35">
        <f t="shared" si="2"/>
        <v>0</v>
      </c>
      <c r="F192" s="44" t="str">
        <f>VLOOKUP(E192, 'Rank Data'!$A$1:$B$25, 2, TRUE)</f>
        <v>Rookie 4</v>
      </c>
      <c r="G192" s="24"/>
      <c r="H192" s="24"/>
      <c r="I192" s="24"/>
      <c r="J192" s="24"/>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row>
    <row r="193" spans="1:59" x14ac:dyDescent="0.25">
      <c r="A193" s="22">
        <v>192</v>
      </c>
      <c r="B193" s="13"/>
      <c r="C193" s="14"/>
      <c r="D193" s="15"/>
      <c r="E193" s="35">
        <f t="shared" si="2"/>
        <v>0</v>
      </c>
      <c r="F193" s="44" t="str">
        <f>VLOOKUP(E193, 'Rank Data'!$A$1:$B$25, 2, TRUE)</f>
        <v>Rookie 4</v>
      </c>
      <c r="G193" s="24"/>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row>
    <row r="194" spans="1:59" x14ac:dyDescent="0.25">
      <c r="A194" s="22">
        <v>193</v>
      </c>
      <c r="B194" s="13"/>
      <c r="C194" s="14"/>
      <c r="D194" s="15"/>
      <c r="E194" s="35">
        <f t="shared" si="2"/>
        <v>0</v>
      </c>
      <c r="F194" s="44" t="str">
        <f>VLOOKUP(E194, 'Rank Data'!$A$1:$B$25, 2, TRUE)</f>
        <v>Rookie 4</v>
      </c>
      <c r="G194" s="24"/>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row>
    <row r="195" spans="1:59" x14ac:dyDescent="0.25">
      <c r="A195" s="22">
        <v>194</v>
      </c>
      <c r="B195" s="13"/>
      <c r="C195" s="14"/>
      <c r="D195" s="15"/>
      <c r="E195" s="35">
        <f t="shared" si="2"/>
        <v>0</v>
      </c>
      <c r="F195" s="44" t="str">
        <f>VLOOKUP(E195, 'Rank Data'!$A$1:$B$25, 2, TRUE)</f>
        <v>Rookie 4</v>
      </c>
      <c r="G195" s="24"/>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row>
    <row r="196" spans="1:59" x14ac:dyDescent="0.25">
      <c r="A196" s="22">
        <v>195</v>
      </c>
      <c r="B196" s="13"/>
      <c r="C196" s="14"/>
      <c r="D196" s="15"/>
      <c r="E196" s="35">
        <f t="shared" si="2"/>
        <v>0</v>
      </c>
      <c r="F196" s="44" t="str">
        <f>VLOOKUP(E196, 'Rank Data'!$A$1:$B$25, 2, TRUE)</f>
        <v>Rookie 4</v>
      </c>
      <c r="G196" s="24"/>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row>
    <row r="197" spans="1:59" x14ac:dyDescent="0.25">
      <c r="A197" s="22">
        <v>196</v>
      </c>
      <c r="B197" s="13"/>
      <c r="C197" s="14"/>
      <c r="D197" s="15"/>
      <c r="E197" s="35">
        <f t="shared" ref="E197:E201" si="3">SUM(E196,D196)</f>
        <v>0</v>
      </c>
      <c r="F197" s="44" t="str">
        <f>VLOOKUP(E197, 'Rank Data'!$A$1:$B$25, 2, TRUE)</f>
        <v>Rookie 4</v>
      </c>
      <c r="G197" s="24"/>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row>
    <row r="198" spans="1:59" x14ac:dyDescent="0.25">
      <c r="A198" s="22">
        <v>197</v>
      </c>
      <c r="B198" s="13"/>
      <c r="C198" s="14"/>
      <c r="D198" s="15"/>
      <c r="E198" s="35">
        <f t="shared" si="3"/>
        <v>0</v>
      </c>
      <c r="F198" s="44" t="str">
        <f>VLOOKUP(E198, 'Rank Data'!$A$1:$B$25, 2, TRUE)</f>
        <v>Rookie 4</v>
      </c>
      <c r="G198" s="24"/>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row>
    <row r="199" spans="1:59" x14ac:dyDescent="0.25">
      <c r="A199" s="22">
        <v>198</v>
      </c>
      <c r="B199" s="13"/>
      <c r="C199" s="14"/>
      <c r="D199" s="15"/>
      <c r="E199" s="35">
        <f t="shared" si="3"/>
        <v>0</v>
      </c>
      <c r="F199" s="44" t="str">
        <f>VLOOKUP(E199, 'Rank Data'!$A$1:$B$25, 2, TRUE)</f>
        <v>Rookie 4</v>
      </c>
      <c r="G199" s="24"/>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row>
    <row r="200" spans="1:59" x14ac:dyDescent="0.25">
      <c r="A200" s="22">
        <v>199</v>
      </c>
      <c r="B200" s="13"/>
      <c r="C200" s="14"/>
      <c r="D200" s="15"/>
      <c r="E200" s="35">
        <f t="shared" si="3"/>
        <v>0</v>
      </c>
      <c r="F200" s="44" t="str">
        <f>VLOOKUP(E200, 'Rank Data'!$A$1:$B$25, 2, TRUE)</f>
        <v>Rookie 4</v>
      </c>
      <c r="G200" s="2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row>
    <row r="201" spans="1:59" ht="15.75" thickBot="1" x14ac:dyDescent="0.3">
      <c r="A201" s="23">
        <v>200</v>
      </c>
      <c r="B201" s="13"/>
      <c r="C201" s="14"/>
      <c r="D201" s="15"/>
      <c r="E201" s="35">
        <f t="shared" si="3"/>
        <v>0</v>
      </c>
      <c r="F201" s="45" t="str">
        <f>VLOOKUP(E201, 'Rank Data'!$A$1:$B$25, 2, TRUE)</f>
        <v>Rookie 4</v>
      </c>
      <c r="G201" s="2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row>
    <row r="202" spans="1:59" x14ac:dyDescent="0.25">
      <c r="A202" s="24"/>
      <c r="B202" s="24"/>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4"/>
      <c r="BF202" s="24"/>
      <c r="BG202" s="24"/>
    </row>
    <row r="203" spans="1:59" x14ac:dyDescent="0.25">
      <c r="A203" s="24"/>
      <c r="B203" s="24"/>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4"/>
      <c r="BF203" s="24"/>
      <c r="BG203" s="24"/>
    </row>
    <row r="204" spans="1:59" x14ac:dyDescent="0.25">
      <c r="A204" s="24"/>
      <c r="B204" s="24"/>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4"/>
      <c r="BF204" s="24"/>
      <c r="BG204" s="24"/>
    </row>
    <row r="205" spans="1:59" x14ac:dyDescent="0.25">
      <c r="A205" s="24"/>
      <c r="B205" s="24"/>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4"/>
      <c r="BF205" s="24"/>
      <c r="BG205" s="24"/>
    </row>
    <row r="206" spans="1:59" x14ac:dyDescent="0.25">
      <c r="A206" s="24"/>
      <c r="B206" s="24"/>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4"/>
      <c r="BF206" s="24"/>
      <c r="BG206" s="24"/>
    </row>
    <row r="207" spans="1:59" x14ac:dyDescent="0.25">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4"/>
      <c r="BF207" s="24"/>
      <c r="BG207" s="24"/>
    </row>
    <row r="208" spans="1:59" x14ac:dyDescent="0.25">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row>
    <row r="209" spans="1:59" x14ac:dyDescent="0.25">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4"/>
      <c r="BF209" s="24"/>
      <c r="BG209" s="24"/>
    </row>
    <row r="210" spans="1:59" x14ac:dyDescent="0.25">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4"/>
      <c r="BF210" s="24"/>
      <c r="BG210" s="24"/>
    </row>
    <row r="211" spans="1:59" x14ac:dyDescent="0.25">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4"/>
      <c r="BF211" s="24"/>
      <c r="BG211" s="24"/>
    </row>
    <row r="212" spans="1:59" x14ac:dyDescent="0.25">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4"/>
      <c r="BF212" s="24"/>
      <c r="BG212" s="24"/>
    </row>
    <row r="213" spans="1:59" x14ac:dyDescent="0.25">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4"/>
      <c r="BF213" s="24"/>
      <c r="BG213" s="24"/>
    </row>
    <row r="214" spans="1:59" x14ac:dyDescent="0.25">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row>
    <row r="215" spans="1:59" x14ac:dyDescent="0.25">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row>
    <row r="216" spans="1:59" x14ac:dyDescent="0.25">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row>
    <row r="217" spans="1:59" x14ac:dyDescent="0.25">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row>
    <row r="218" spans="1:59" x14ac:dyDescent="0.25">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4"/>
      <c r="BF218" s="24"/>
      <c r="BG218" s="24"/>
    </row>
    <row r="219" spans="1:59" x14ac:dyDescent="0.25">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4"/>
      <c r="BF219" s="24"/>
      <c r="BG219" s="24"/>
    </row>
    <row r="220" spans="1:59" x14ac:dyDescent="0.25">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4"/>
      <c r="BF220" s="24"/>
      <c r="BG220" s="24"/>
    </row>
    <row r="221" spans="1:59" x14ac:dyDescent="0.25">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4"/>
      <c r="BF221" s="24"/>
      <c r="BG221" s="24"/>
    </row>
    <row r="222" spans="1:59" x14ac:dyDescent="0.25">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4"/>
      <c r="BF222" s="24"/>
      <c r="BG222" s="24"/>
    </row>
    <row r="223" spans="1:59" x14ac:dyDescent="0.25">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4"/>
      <c r="BF223" s="24"/>
      <c r="BG223" s="24"/>
    </row>
    <row r="224" spans="1:59" x14ac:dyDescent="0.25">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4"/>
      <c r="BF224" s="24"/>
      <c r="BG224" s="24"/>
    </row>
    <row r="225" spans="1:59" x14ac:dyDescent="0.25">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row>
    <row r="226" spans="1:59" x14ac:dyDescent="0.25">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row>
    <row r="227" spans="1:59" x14ac:dyDescent="0.25">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4"/>
      <c r="BF227" s="24"/>
      <c r="BG227" s="24"/>
    </row>
    <row r="228" spans="1:59" x14ac:dyDescent="0.25">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4"/>
      <c r="BF228" s="24"/>
      <c r="BG228" s="24"/>
    </row>
    <row r="229" spans="1:59" x14ac:dyDescent="0.25">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4"/>
      <c r="BF229" s="24"/>
      <c r="BG229" s="24"/>
    </row>
    <row r="230" spans="1:59" x14ac:dyDescent="0.25">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4"/>
      <c r="BF230" s="24"/>
      <c r="BG230" s="24"/>
    </row>
    <row r="231" spans="1:59" x14ac:dyDescent="0.25">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4"/>
      <c r="BF231" s="24"/>
      <c r="BG231" s="24"/>
    </row>
    <row r="232" spans="1:59" x14ac:dyDescent="0.25">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row>
    <row r="233" spans="1:59" x14ac:dyDescent="0.25">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row>
    <row r="234" spans="1:59" x14ac:dyDescent="0.25">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4"/>
      <c r="BF234" s="24"/>
      <c r="BG234" s="24"/>
    </row>
    <row r="235" spans="1:59" x14ac:dyDescent="0.25">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4"/>
      <c r="BF235" s="24"/>
      <c r="BG235" s="24"/>
    </row>
    <row r="236" spans="1:59" x14ac:dyDescent="0.25">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4"/>
      <c r="BF236" s="24"/>
      <c r="BG236" s="24"/>
    </row>
    <row r="237" spans="1:59" x14ac:dyDescent="0.25">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4"/>
      <c r="BF237" s="24"/>
      <c r="BG237" s="24"/>
    </row>
    <row r="238" spans="1:59" x14ac:dyDescent="0.25">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4"/>
      <c r="BF238" s="24"/>
      <c r="BG238" s="24"/>
    </row>
    <row r="239" spans="1:59" x14ac:dyDescent="0.25">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4"/>
      <c r="BF239" s="24"/>
      <c r="BG239" s="24"/>
    </row>
    <row r="240" spans="1:59" x14ac:dyDescent="0.25">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4"/>
      <c r="BF240" s="24"/>
      <c r="BG240" s="24"/>
    </row>
    <row r="241" spans="1:59" x14ac:dyDescent="0.25">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4"/>
      <c r="BF241" s="24"/>
      <c r="BG241" s="24"/>
    </row>
    <row r="242" spans="1:59" x14ac:dyDescent="0.25">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4"/>
      <c r="BF242" s="24"/>
      <c r="BG242" s="24"/>
    </row>
    <row r="243" spans="1:59" x14ac:dyDescent="0.25">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4"/>
      <c r="BF243" s="24"/>
      <c r="BG243" s="24"/>
    </row>
  </sheetData>
  <mergeCells count="2">
    <mergeCell ref="H1:R3"/>
    <mergeCell ref="H4:R5"/>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26"/>
  <sheetViews>
    <sheetView workbookViewId="0">
      <selection activeCell="B13" sqref="B13"/>
    </sheetView>
  </sheetViews>
  <sheetFormatPr defaultRowHeight="15" x14ac:dyDescent="0.25"/>
  <cols>
    <col min="1" max="1" width="11.85546875" style="1" bestFit="1" customWidth="1"/>
    <col min="2" max="5" width="9.140625" style="1"/>
    <col min="6" max="6" width="13.85546875" style="1" bestFit="1" customWidth="1"/>
    <col min="7" max="10" width="9.140625" style="1"/>
    <col min="11" max="11" width="11.7109375" style="1" bestFit="1" customWidth="1"/>
    <col min="12" max="13" width="9.140625" style="1"/>
    <col min="14" max="14" width="11.85546875" style="1" bestFit="1" customWidth="1"/>
    <col min="15" max="16384" width="9.140625" style="1"/>
  </cols>
  <sheetData>
    <row r="1" spans="1:12" x14ac:dyDescent="0.25">
      <c r="A1" s="1" t="s">
        <v>76</v>
      </c>
      <c r="B1" s="1" t="s">
        <v>11</v>
      </c>
      <c r="C1" s="1" t="s">
        <v>12</v>
      </c>
      <c r="D1" s="1" t="s">
        <v>8</v>
      </c>
      <c r="E1" s="1" t="s">
        <v>13</v>
      </c>
      <c r="F1" s="1" t="s">
        <v>14</v>
      </c>
    </row>
    <row r="2" spans="1:12" x14ac:dyDescent="0.25">
      <c r="A2" s="1" t="s">
        <v>51</v>
      </c>
      <c r="B2" s="1">
        <f>COUNTIF('Match data'!B:B, "Bangalore")</f>
        <v>0</v>
      </c>
      <c r="C2" s="2" t="e">
        <f>B2/L2</f>
        <v>#DIV/0!</v>
      </c>
      <c r="D2" s="1">
        <f>SUMIF('Match data'!B:B, "Bangalore",'Match data'!D:D)</f>
        <v>0</v>
      </c>
      <c r="E2" s="1" t="e">
        <f>D2/B2</f>
        <v>#DIV/0!</v>
      </c>
      <c r="F2" s="1">
        <f>AVERAGE(SUMIF('Match data'!B:B, "Bangalore",'Match data'!C:C))</f>
        <v>0</v>
      </c>
      <c r="K2" s="1" t="s">
        <v>10</v>
      </c>
      <c r="L2" s="1">
        <f>COUNTA('Match data'!B2:B201)</f>
        <v>0</v>
      </c>
    </row>
    <row r="3" spans="1:12" x14ac:dyDescent="0.25">
      <c r="A3" s="1" t="s">
        <v>52</v>
      </c>
      <c r="B3" s="1">
        <f>COUNTIF('Match data'!B:B, "Fuse")</f>
        <v>0</v>
      </c>
      <c r="C3" s="2" t="e">
        <f>B3/L2</f>
        <v>#DIV/0!</v>
      </c>
      <c r="D3" s="1">
        <f>SUMIF('Match data'!B:B, "Fuse",'Match data'!D:D)</f>
        <v>0</v>
      </c>
      <c r="E3" s="1" t="e">
        <f>D3/B3</f>
        <v>#DIV/0!</v>
      </c>
      <c r="F3" s="1">
        <f>AVERAGE(SUMIF('Match data'!B:B, "Fuse",'Match data'!C:C))</f>
        <v>0</v>
      </c>
    </row>
    <row r="4" spans="1:12" x14ac:dyDescent="0.25">
      <c r="A4" s="1" t="s">
        <v>53</v>
      </c>
      <c r="B4" s="1">
        <f>COUNTIF('Match data'!B:B, "Ash")</f>
        <v>0</v>
      </c>
      <c r="C4" s="2" t="e">
        <f t="shared" ref="C4" si="0">B4/L4</f>
        <v>#DIV/0!</v>
      </c>
      <c r="D4" s="1">
        <f>SUMIF('Match data'!B:B, "Ash",'Match data'!D:D)</f>
        <v>0</v>
      </c>
      <c r="E4" s="1" t="e">
        <f t="shared" ref="E4:E26" si="1">D4/B4</f>
        <v>#DIV/0!</v>
      </c>
      <c r="F4" s="1">
        <f>AVERAGE(SUMIF('Match data'!B:B, "Ash",'Match data'!C:C))</f>
        <v>0</v>
      </c>
    </row>
    <row r="5" spans="1:12" x14ac:dyDescent="0.25">
      <c r="A5" s="1" t="s">
        <v>54</v>
      </c>
      <c r="B5" s="1">
        <f>COUNTIF('Match data'!B:B, "Maggie")</f>
        <v>0</v>
      </c>
      <c r="C5" s="2" t="e">
        <f t="shared" ref="C5" si="2">B5/L4</f>
        <v>#DIV/0!</v>
      </c>
      <c r="D5" s="1">
        <f>SUMIF('Match data'!B:B, "Maggie",'Match data'!D:D)</f>
        <v>0</v>
      </c>
      <c r="E5" s="1" t="e">
        <f t="shared" si="1"/>
        <v>#DIV/0!</v>
      </c>
      <c r="F5" s="1">
        <f>AVERAGE(SUMIF('Match data'!B:B, "Maggie",'Match data'!C:C))</f>
        <v>0</v>
      </c>
    </row>
    <row r="6" spans="1:12" x14ac:dyDescent="0.25">
      <c r="A6" s="1" t="s">
        <v>55</v>
      </c>
      <c r="B6" s="1">
        <f>COUNTIF('Match data'!B:B, "Ballistic")</f>
        <v>0</v>
      </c>
      <c r="C6" s="2" t="e">
        <f t="shared" ref="C6" si="3">B6/L6</f>
        <v>#DIV/0!</v>
      </c>
      <c r="D6" s="1">
        <f>SUMIF('Match data'!B:B, "Ballistic",'Match data'!D:D)</f>
        <v>0</v>
      </c>
      <c r="E6" s="1" t="e">
        <f t="shared" si="1"/>
        <v>#DIV/0!</v>
      </c>
      <c r="F6" s="1">
        <f>AVERAGE(SUMIF('Match data'!B:B, "Ballistic",'Match data'!C:C))</f>
        <v>0</v>
      </c>
    </row>
    <row r="7" spans="1:12" x14ac:dyDescent="0.25">
      <c r="A7" s="1" t="s">
        <v>56</v>
      </c>
      <c r="B7" s="1">
        <f>COUNTIF('Match data'!B:B, "Pathfinder")</f>
        <v>0</v>
      </c>
      <c r="C7" s="2" t="e">
        <f t="shared" ref="C7" si="4">B7/L6</f>
        <v>#DIV/0!</v>
      </c>
      <c r="D7" s="1">
        <f>SUMIF('Match data'!B:B, "Pathfinder",'Match data'!D:D)</f>
        <v>0</v>
      </c>
      <c r="E7" s="1" t="e">
        <f t="shared" si="1"/>
        <v>#DIV/0!</v>
      </c>
      <c r="F7" s="1">
        <f>AVERAGE(SUMIF('Match data'!B:B, "Pathfinder",'Match data'!C:C))</f>
        <v>0</v>
      </c>
    </row>
    <row r="8" spans="1:12" x14ac:dyDescent="0.25">
      <c r="A8" s="1" t="s">
        <v>57</v>
      </c>
      <c r="B8" s="1">
        <f>COUNTIF('Match data'!B:B, "Wraith")</f>
        <v>0</v>
      </c>
      <c r="C8" s="2" t="e">
        <f t="shared" ref="C8" si="5">B8/L8</f>
        <v>#DIV/0!</v>
      </c>
      <c r="D8" s="1">
        <f>SUMIF('Match data'!B:B, "Wraith",'Match data'!D:D)</f>
        <v>0</v>
      </c>
      <c r="E8" s="1" t="e">
        <f t="shared" si="1"/>
        <v>#DIV/0!</v>
      </c>
      <c r="F8" s="1">
        <f>AVERAGE(SUMIF('Match data'!B:B, "Wraith",'Match data'!C:C))</f>
        <v>0</v>
      </c>
    </row>
    <row r="9" spans="1:12" x14ac:dyDescent="0.25">
      <c r="A9" s="1" t="s">
        <v>58</v>
      </c>
      <c r="B9" s="1">
        <f>COUNTIF('Match data'!B:B, "Octane")</f>
        <v>0</v>
      </c>
      <c r="C9" s="2" t="e">
        <f t="shared" ref="C9" si="6">B9/L8</f>
        <v>#DIV/0!</v>
      </c>
      <c r="D9" s="1">
        <f>SUMIF('Match data'!B:B, "Octane",'Match data'!D:D)</f>
        <v>0</v>
      </c>
      <c r="E9" s="1" t="e">
        <f t="shared" si="1"/>
        <v>#DIV/0!</v>
      </c>
      <c r="F9" s="1">
        <f>AVERAGE(SUMIF('Match data'!B:B, "Octane",'Match data'!C:C))</f>
        <v>0</v>
      </c>
    </row>
    <row r="10" spans="1:12" x14ac:dyDescent="0.25">
      <c r="A10" s="1" t="s">
        <v>59</v>
      </c>
      <c r="B10" s="1">
        <f>COUNTIF('Match data'!B:B, "Revenant")</f>
        <v>0</v>
      </c>
      <c r="C10" s="2" t="e">
        <f t="shared" ref="C10" si="7">B10/L10</f>
        <v>#DIV/0!</v>
      </c>
      <c r="D10" s="1">
        <f>SUMIF('Match data'!B:B, "Revenant",'Match data'!D:D)</f>
        <v>0</v>
      </c>
      <c r="E10" s="1" t="e">
        <f t="shared" si="1"/>
        <v>#DIV/0!</v>
      </c>
      <c r="F10" s="1">
        <f>AVERAGE(SUMIF('Match data'!B:B, "Revenant",'Match data'!C:C))</f>
        <v>0</v>
      </c>
    </row>
    <row r="11" spans="1:12" x14ac:dyDescent="0.25">
      <c r="A11" s="1" t="s">
        <v>60</v>
      </c>
      <c r="B11" s="1">
        <f>COUNTIF('Match data'!B:B, "Horizon")</f>
        <v>0</v>
      </c>
      <c r="C11" s="2" t="e">
        <f t="shared" ref="C11" si="8">B11/L10</f>
        <v>#DIV/0!</v>
      </c>
      <c r="D11" s="1">
        <f>SUMIF('Match data'!B:B, "Horizon",'Match data'!D:D)</f>
        <v>0</v>
      </c>
      <c r="E11" s="1" t="e">
        <f t="shared" si="1"/>
        <v>#DIV/0!</v>
      </c>
      <c r="F11" s="1">
        <f>AVERAGE(SUMIF('Match data'!B:B, "Horizon",'Match data'!C:C))</f>
        <v>0</v>
      </c>
    </row>
    <row r="12" spans="1:12" x14ac:dyDescent="0.25">
      <c r="A12" s="1" t="s">
        <v>61</v>
      </c>
      <c r="B12" s="1">
        <f>COUNTIF('Match data'!B:B, "Valkyrie")</f>
        <v>0</v>
      </c>
      <c r="C12" s="2" t="e">
        <f t="shared" ref="C12" si="9">B12/L12</f>
        <v>#DIV/0!</v>
      </c>
      <c r="D12" s="1">
        <f>SUMIF('Match data'!B:B, "Valkyrie",'Match data'!D:D)</f>
        <v>0</v>
      </c>
      <c r="E12" s="1" t="e">
        <f t="shared" si="1"/>
        <v>#DIV/0!</v>
      </c>
      <c r="F12" s="1">
        <f>AVERAGE(SUMIF('Match data'!B:B, "Valkyrie",'Match data'!C:C))</f>
        <v>0</v>
      </c>
    </row>
    <row r="13" spans="1:12" x14ac:dyDescent="0.25">
      <c r="A13" s="1" t="s">
        <v>62</v>
      </c>
      <c r="B13" s="1">
        <f>COUNTIF('Match data'!B:B, "Bloodhound")</f>
        <v>0</v>
      </c>
      <c r="C13" s="2" t="e">
        <f t="shared" ref="C13" si="10">B13/L12</f>
        <v>#DIV/0!</v>
      </c>
      <c r="D13" s="1">
        <f>SUMIF('Match data'!B:B, "Bloodhound",'Match data'!D:D)</f>
        <v>0</v>
      </c>
      <c r="E13" s="1" t="e">
        <f t="shared" si="1"/>
        <v>#DIV/0!</v>
      </c>
      <c r="F13" s="1">
        <f>AVERAGE(SUMIF('Match data'!B:B, "Bloodhound",'Match data'!C:C))</f>
        <v>0</v>
      </c>
    </row>
    <row r="14" spans="1:12" x14ac:dyDescent="0.25">
      <c r="A14" s="1" t="s">
        <v>63</v>
      </c>
      <c r="B14" s="1">
        <f>COUNTIF('Match data'!B:B, "Crypto")</f>
        <v>0</v>
      </c>
      <c r="C14" s="2" t="e">
        <f t="shared" ref="C14" si="11">B14/L14</f>
        <v>#DIV/0!</v>
      </c>
      <c r="D14" s="1">
        <f>SUMIF('Match data'!B:B, "Crypto",'Match data'!D:D)</f>
        <v>0</v>
      </c>
      <c r="E14" s="1" t="e">
        <f t="shared" si="1"/>
        <v>#DIV/0!</v>
      </c>
      <c r="F14" s="1">
        <f>AVERAGE(SUMIF('Match data'!B:B, "Crypto",'Match data'!C:C))</f>
        <v>0</v>
      </c>
    </row>
    <row r="15" spans="1:12" x14ac:dyDescent="0.25">
      <c r="A15" s="1" t="s">
        <v>64</v>
      </c>
      <c r="B15" s="1">
        <f>COUNTIF('Match data'!B:B, "Seer")</f>
        <v>0</v>
      </c>
      <c r="C15" s="2" t="e">
        <f t="shared" ref="C15" si="12">B15/L14</f>
        <v>#DIV/0!</v>
      </c>
      <c r="D15" s="1">
        <f>SUMIF('Match data'!B:B, "Seer",'Match data'!D:D)</f>
        <v>0</v>
      </c>
      <c r="E15" s="1" t="e">
        <f t="shared" si="1"/>
        <v>#DIV/0!</v>
      </c>
      <c r="F15" s="1">
        <f>AVERAGE(SUMIF('Match data'!B:B, "Seer",'Match data'!C:C))</f>
        <v>0</v>
      </c>
    </row>
    <row r="16" spans="1:12" x14ac:dyDescent="0.25">
      <c r="A16" s="1" t="s">
        <v>65</v>
      </c>
      <c r="B16" s="1">
        <f>COUNTIF('Match data'!B:B, "Vantage")</f>
        <v>0</v>
      </c>
      <c r="C16" s="2" t="e">
        <f t="shared" ref="C16" si="13">B16/L16</f>
        <v>#DIV/0!</v>
      </c>
      <c r="D16" s="1">
        <f>SUMIF('Match data'!B:B, "Vantage",'Match data'!D:D)</f>
        <v>0</v>
      </c>
      <c r="E16" s="1" t="e">
        <f t="shared" si="1"/>
        <v>#DIV/0!</v>
      </c>
      <c r="F16" s="1">
        <f>AVERAGE(SUMIF('Match data'!B:B, "Vantage",'Match data'!C:C))</f>
        <v>0</v>
      </c>
    </row>
    <row r="17" spans="1:6" x14ac:dyDescent="0.25">
      <c r="A17" s="1" t="s">
        <v>66</v>
      </c>
      <c r="B17" s="1">
        <f>COUNTIF('Match data'!B:B, "Gibraltar")</f>
        <v>0</v>
      </c>
      <c r="C17" s="2" t="e">
        <f t="shared" ref="C17" si="14">B17/L16</f>
        <v>#DIV/0!</v>
      </c>
      <c r="D17" s="1">
        <f>SUMIF('Match data'!B:B, "Gibraltar",'Match data'!D:D)</f>
        <v>0</v>
      </c>
      <c r="E17" s="1" t="e">
        <f t="shared" si="1"/>
        <v>#DIV/0!</v>
      </c>
      <c r="F17" s="1">
        <f>AVERAGE(SUMIF('Match data'!B:B, "Gibraltar",'Match data'!C:C))</f>
        <v>0</v>
      </c>
    </row>
    <row r="18" spans="1:6" x14ac:dyDescent="0.25">
      <c r="A18" s="1" t="s">
        <v>67</v>
      </c>
      <c r="B18" s="1">
        <f>COUNTIF('Match data'!B:B, "Lifeline")</f>
        <v>0</v>
      </c>
      <c r="C18" s="2" t="e">
        <f t="shared" ref="C18" si="15">B18/L18</f>
        <v>#DIV/0!</v>
      </c>
      <c r="D18" s="1">
        <f>SUMIF('Match data'!B:B, "Lifeline",'Match data'!D:D)</f>
        <v>0</v>
      </c>
      <c r="E18" s="1" t="e">
        <f t="shared" si="1"/>
        <v>#DIV/0!</v>
      </c>
      <c r="F18" s="1">
        <f>AVERAGE(SUMIF('Match data'!B:B, "Lifeline",'Match data'!C:C))</f>
        <v>0</v>
      </c>
    </row>
    <row r="19" spans="1:6" x14ac:dyDescent="0.25">
      <c r="A19" s="1" t="s">
        <v>68</v>
      </c>
      <c r="B19" s="1">
        <f>COUNTIF('Match data'!B:B, "Fuse")</f>
        <v>0</v>
      </c>
      <c r="C19" s="2" t="e">
        <f t="shared" ref="C19" si="16">B19/L18</f>
        <v>#DIV/0!</v>
      </c>
      <c r="D19" s="1">
        <f>SUMIF('Match data'!B:B, "Fuse",'Match data'!D:D)</f>
        <v>0</v>
      </c>
      <c r="E19" s="1" t="e">
        <f t="shared" si="1"/>
        <v>#DIV/0!</v>
      </c>
      <c r="F19" s="1">
        <f>AVERAGE(SUMIF('Match data'!B:B, "Fuse",'Match data'!C:C))</f>
        <v>0</v>
      </c>
    </row>
    <row r="20" spans="1:6" x14ac:dyDescent="0.25">
      <c r="A20" s="1" t="s">
        <v>69</v>
      </c>
      <c r="B20" s="1">
        <f>COUNTIF('Match data'!B:B, "Loba")</f>
        <v>0</v>
      </c>
      <c r="C20" s="2" t="e">
        <f t="shared" ref="C20" si="17">B20/L20</f>
        <v>#DIV/0!</v>
      </c>
      <c r="D20" s="1">
        <f>SUMIF('Match data'!B:B, "Loba",'Match data'!D:D)</f>
        <v>0</v>
      </c>
      <c r="E20" s="1" t="e">
        <f t="shared" si="1"/>
        <v>#DIV/0!</v>
      </c>
      <c r="F20" s="1">
        <f>AVERAGE(SUMIF('Match data'!B:B, "Loba",'Match data'!C:C))</f>
        <v>0</v>
      </c>
    </row>
    <row r="21" spans="1:6" x14ac:dyDescent="0.25">
      <c r="A21" s="1" t="s">
        <v>70</v>
      </c>
      <c r="B21" s="1">
        <f>COUNTIF('Match data'!B:B, "Newcastle")</f>
        <v>0</v>
      </c>
      <c r="C21" s="2" t="e">
        <f t="shared" ref="C21" si="18">B21/L20</f>
        <v>#DIV/0!</v>
      </c>
      <c r="D21" s="1">
        <f>SUMIF('Match data'!B:B, "Newcastle",'Match data'!D:D)</f>
        <v>0</v>
      </c>
      <c r="E21" s="1" t="e">
        <f t="shared" si="1"/>
        <v>#DIV/0!</v>
      </c>
      <c r="F21" s="1">
        <f>AVERAGE(SUMIF('Match data'!B:B, "Newcastle",'Match data'!C:C))</f>
        <v>0</v>
      </c>
    </row>
    <row r="22" spans="1:6" x14ac:dyDescent="0.25">
      <c r="A22" s="1" t="s">
        <v>71</v>
      </c>
      <c r="B22" s="1">
        <f>COUNTIF('Match data'!B:B, "Conduit")</f>
        <v>0</v>
      </c>
      <c r="C22" s="2" t="e">
        <f t="shared" ref="C22" si="19">B22/L22</f>
        <v>#DIV/0!</v>
      </c>
      <c r="D22" s="1">
        <f>SUMIF('Match data'!B:B, "Conduit",'Match data'!D:D)</f>
        <v>0</v>
      </c>
      <c r="E22" s="1" t="e">
        <f t="shared" si="1"/>
        <v>#DIV/0!</v>
      </c>
      <c r="F22" s="1">
        <f>AVERAGE(SUMIF('Match data'!B:B, "Conduit",'Match data'!C:C))</f>
        <v>0</v>
      </c>
    </row>
    <row r="23" spans="1:6" x14ac:dyDescent="0.25">
      <c r="A23" s="1" t="s">
        <v>72</v>
      </c>
      <c r="B23" s="1">
        <f>COUNTIF('Match data'!B:B, "Caustic")</f>
        <v>0</v>
      </c>
      <c r="C23" s="2" t="e">
        <f t="shared" ref="C23" si="20">B23/L22</f>
        <v>#DIV/0!</v>
      </c>
      <c r="D23" s="1">
        <f>SUMIF('Match data'!B:B, "Caustic",'Match data'!D:D)</f>
        <v>0</v>
      </c>
      <c r="E23" s="1" t="e">
        <f t="shared" si="1"/>
        <v>#DIV/0!</v>
      </c>
      <c r="F23" s="1">
        <f>AVERAGE(SUMIF('Match data'!B:B, "Caustic",'Match data'!C:C))</f>
        <v>0</v>
      </c>
    </row>
    <row r="24" spans="1:6" x14ac:dyDescent="0.25">
      <c r="A24" s="1" t="s">
        <v>73</v>
      </c>
      <c r="B24" s="1">
        <f>COUNTIF('Match data'!B:B, "Wattson")</f>
        <v>0</v>
      </c>
      <c r="C24" s="2" t="e">
        <f t="shared" ref="C24" si="21">B24/L24</f>
        <v>#DIV/0!</v>
      </c>
      <c r="D24" s="1">
        <f>SUMIF('Match data'!B:B, "Wattson",'Match data'!D:D)</f>
        <v>0</v>
      </c>
      <c r="E24" s="1" t="e">
        <f t="shared" si="1"/>
        <v>#DIV/0!</v>
      </c>
      <c r="F24" s="1">
        <f>AVERAGE(SUMIF('Match data'!B:B, "Wattson",'Match data'!C:C))</f>
        <v>0</v>
      </c>
    </row>
    <row r="25" spans="1:6" x14ac:dyDescent="0.25">
      <c r="A25" s="1" t="s">
        <v>74</v>
      </c>
      <c r="B25" s="1">
        <f>COUNTIF('Match data'!B:B, "Rampart")</f>
        <v>0</v>
      </c>
      <c r="C25" s="2" t="e">
        <f t="shared" ref="C25" si="22">B25/L24</f>
        <v>#DIV/0!</v>
      </c>
      <c r="D25" s="1">
        <f>SUMIF('Match data'!B:B, "Rampart",'Match data'!D:D)</f>
        <v>0</v>
      </c>
      <c r="E25" s="1" t="e">
        <f t="shared" si="1"/>
        <v>#DIV/0!</v>
      </c>
      <c r="F25" s="1">
        <f>AVERAGE(SUMIF('Match data'!B:B, "Rampart",'Match data'!C:C))</f>
        <v>0</v>
      </c>
    </row>
    <row r="26" spans="1:6" x14ac:dyDescent="0.25">
      <c r="A26" s="1" t="s">
        <v>75</v>
      </c>
      <c r="B26" s="1">
        <f>COUNTIF('Match data'!B:B, "Catalyst")</f>
        <v>0</v>
      </c>
      <c r="C26" s="2" t="e">
        <f t="shared" ref="C26" si="23">B26/L26</f>
        <v>#DIV/0!</v>
      </c>
      <c r="D26" s="1">
        <f>SUMIF('Match data'!B:B, "Catalyst",'Match data'!D:D)</f>
        <v>0</v>
      </c>
      <c r="E26" s="1" t="e">
        <f t="shared" si="1"/>
        <v>#DIV/0!</v>
      </c>
      <c r="F26" s="1">
        <f>AVERAGE(SUMIF('Match data'!B:B, "Catalyst",'Match data'!C:C))</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28"/>
  <sheetViews>
    <sheetView workbookViewId="0">
      <selection activeCell="B28" sqref="B28"/>
    </sheetView>
  </sheetViews>
  <sheetFormatPr defaultRowHeight="14.25" customHeight="1" x14ac:dyDescent="0.25"/>
  <cols>
    <col min="1" max="1" width="9.140625" style="31"/>
    <col min="2" max="2" width="10.5703125" style="31" bestFit="1" customWidth="1"/>
    <col min="3" max="16384" width="9.140625" style="31"/>
  </cols>
  <sheetData>
    <row r="1" spans="1:2" ht="14.25" customHeight="1" x14ac:dyDescent="0.25">
      <c r="A1" s="31">
        <v>0</v>
      </c>
      <c r="B1" s="36" t="s">
        <v>24</v>
      </c>
    </row>
    <row r="2" spans="1:2" ht="14.25" customHeight="1" x14ac:dyDescent="0.25">
      <c r="A2" s="31">
        <v>250</v>
      </c>
      <c r="B2" s="36" t="s">
        <v>25</v>
      </c>
    </row>
    <row r="3" spans="1:2" ht="14.25" customHeight="1" x14ac:dyDescent="0.25">
      <c r="A3" s="31">
        <v>500</v>
      </c>
      <c r="B3" s="36" t="s">
        <v>26</v>
      </c>
    </row>
    <row r="4" spans="1:2" ht="14.25" customHeight="1" x14ac:dyDescent="0.25">
      <c r="A4" s="31">
        <v>700</v>
      </c>
      <c r="B4" s="36" t="s">
        <v>27</v>
      </c>
    </row>
    <row r="5" spans="1:2" ht="14.25" customHeight="1" x14ac:dyDescent="0.25">
      <c r="A5" s="31">
        <v>1000</v>
      </c>
      <c r="B5" s="37" t="s">
        <v>28</v>
      </c>
    </row>
    <row r="6" spans="1:2" ht="14.25" customHeight="1" x14ac:dyDescent="0.25">
      <c r="A6" s="31">
        <v>1500</v>
      </c>
      <c r="B6" s="37" t="s">
        <v>29</v>
      </c>
    </row>
    <row r="7" spans="1:2" ht="14.25" customHeight="1" x14ac:dyDescent="0.25">
      <c r="A7" s="31">
        <v>2000</v>
      </c>
      <c r="B7" s="37" t="s">
        <v>30</v>
      </c>
    </row>
    <row r="8" spans="1:2" ht="14.25" customHeight="1" x14ac:dyDescent="0.25">
      <c r="A8" s="31">
        <v>2500</v>
      </c>
      <c r="B8" s="37" t="s">
        <v>31</v>
      </c>
    </row>
    <row r="9" spans="1:2" ht="14.25" customHeight="1" x14ac:dyDescent="0.25">
      <c r="A9" s="31">
        <v>3000</v>
      </c>
      <c r="B9" s="38" t="s">
        <v>32</v>
      </c>
    </row>
    <row r="10" spans="1:2" ht="14.25" customHeight="1" x14ac:dyDescent="0.25">
      <c r="A10" s="31">
        <v>3600</v>
      </c>
      <c r="B10" s="38" t="s">
        <v>33</v>
      </c>
    </row>
    <row r="11" spans="1:2" ht="14.25" customHeight="1" x14ac:dyDescent="0.25">
      <c r="A11" s="31">
        <v>4200</v>
      </c>
      <c r="B11" s="38" t="s">
        <v>34</v>
      </c>
    </row>
    <row r="12" spans="1:2" ht="14.25" customHeight="1" x14ac:dyDescent="0.25">
      <c r="A12" s="31">
        <v>4800</v>
      </c>
      <c r="B12" s="38" t="s">
        <v>35</v>
      </c>
    </row>
    <row r="13" spans="1:2" ht="14.25" customHeight="1" x14ac:dyDescent="0.25">
      <c r="A13" s="31">
        <v>5400</v>
      </c>
      <c r="B13" s="39" t="s">
        <v>36</v>
      </c>
    </row>
    <row r="14" spans="1:2" ht="14.25" customHeight="1" x14ac:dyDescent="0.25">
      <c r="A14" s="31">
        <v>6100</v>
      </c>
      <c r="B14" s="39" t="s">
        <v>37</v>
      </c>
    </row>
    <row r="15" spans="1:2" ht="14.25" customHeight="1" x14ac:dyDescent="0.25">
      <c r="A15" s="31">
        <v>6800</v>
      </c>
      <c r="B15" s="39" t="s">
        <v>38</v>
      </c>
    </row>
    <row r="16" spans="1:2" ht="14.25" customHeight="1" x14ac:dyDescent="0.25">
      <c r="A16" s="31">
        <v>7500</v>
      </c>
      <c r="B16" s="39" t="s">
        <v>39</v>
      </c>
    </row>
    <row r="17" spans="1:2" ht="14.25" customHeight="1" x14ac:dyDescent="0.25">
      <c r="A17" s="31">
        <v>8200</v>
      </c>
      <c r="B17" s="40" t="s">
        <v>40</v>
      </c>
    </row>
    <row r="18" spans="1:2" ht="14.25" customHeight="1" x14ac:dyDescent="0.25">
      <c r="A18" s="31">
        <v>9000</v>
      </c>
      <c r="B18" s="40" t="s">
        <v>41</v>
      </c>
    </row>
    <row r="19" spans="1:2" ht="14.25" customHeight="1" x14ac:dyDescent="0.25">
      <c r="A19" s="31">
        <v>9800</v>
      </c>
      <c r="B19" s="40" t="s">
        <v>42</v>
      </c>
    </row>
    <row r="20" spans="1:2" ht="14.25" customHeight="1" x14ac:dyDescent="0.25">
      <c r="A20" s="31">
        <v>10600</v>
      </c>
      <c r="B20" s="40" t="s">
        <v>43</v>
      </c>
    </row>
    <row r="21" spans="1:2" ht="14.25" customHeight="1" x14ac:dyDescent="0.25">
      <c r="A21" s="31">
        <v>11400</v>
      </c>
      <c r="B21" s="41" t="s">
        <v>44</v>
      </c>
    </row>
    <row r="22" spans="1:2" ht="14.25" customHeight="1" x14ac:dyDescent="0.25">
      <c r="A22" s="31">
        <v>12300</v>
      </c>
      <c r="B22" s="41" t="s">
        <v>45</v>
      </c>
    </row>
    <row r="23" spans="1:2" ht="14.25" customHeight="1" x14ac:dyDescent="0.25">
      <c r="A23" s="31">
        <v>13200</v>
      </c>
      <c r="B23" s="41" t="s">
        <v>46</v>
      </c>
    </row>
    <row r="24" spans="1:2" ht="14.25" customHeight="1" x14ac:dyDescent="0.25">
      <c r="A24" s="31">
        <v>14100</v>
      </c>
      <c r="B24" s="41" t="s">
        <v>47</v>
      </c>
    </row>
    <row r="25" spans="1:2" ht="14.25" customHeight="1" x14ac:dyDescent="0.25">
      <c r="A25" s="31">
        <v>15000</v>
      </c>
      <c r="B25" s="42" t="s">
        <v>48</v>
      </c>
    </row>
    <row r="28" spans="1:2" ht="14.25" customHeight="1" x14ac:dyDescent="0.25">
      <c r="A28" s="31">
        <f>MAX('Match data'!E2:E201)</f>
        <v>0</v>
      </c>
      <c r="B28" s="31" t="str">
        <f>VLOOKUP(E194, 'Rank Data'!$A$1:$B$25, 2, TRUE)</f>
        <v>Rookie 4</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 use</vt:lpstr>
      <vt:lpstr>Overview</vt:lpstr>
      <vt:lpstr>Match data</vt:lpstr>
      <vt:lpstr>Table Data</vt:lpstr>
      <vt:lpstr>Rank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Alice</dc:creator>
  <cp:lastModifiedBy>Alice</cp:lastModifiedBy>
  <dcterms:created xsi:type="dcterms:W3CDTF">2024-05-06T15:49:31Z</dcterms:created>
  <dcterms:modified xsi:type="dcterms:W3CDTF">2024-05-06T21:39:01Z</dcterms:modified>
</cp:coreProperties>
</file>